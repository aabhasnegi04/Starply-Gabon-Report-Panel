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-108" yWindow="-108" windowWidth="23256" windowHeight="12456"/>
  </bookViews>
  <sheets>
    <sheet name="Main" sheetId="4" r:id="rId1"/>
    <sheet name="Stickers" sheetId="9" r:id="rId2"/>
    <sheet name="Load List" sheetId="3" r:id="rId3"/>
    <sheet name="Packing List" sheetId="6" r:id="rId4"/>
  </sheets>
  <definedNames>
    <definedName name="_xlnm.Print_Area" localSheetId="1">Stickers!$A$1:$QF$14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9"/>
  <c r="X6"/>
  <c r="I19" i="6" l="1"/>
  <c r="O31" l="1"/>
  <c r="R31" s="1"/>
  <c r="N31"/>
  <c r="I31"/>
  <c r="G31"/>
  <c r="E31"/>
  <c r="O30"/>
  <c r="R30" s="1"/>
  <c r="N30"/>
  <c r="I30"/>
  <c r="G30"/>
  <c r="E30"/>
  <c r="O29"/>
  <c r="R29" s="1"/>
  <c r="N29"/>
  <c r="I29"/>
  <c r="G29"/>
  <c r="E29"/>
  <c r="O28"/>
  <c r="R28" s="1"/>
  <c r="N28"/>
  <c r="I28"/>
  <c r="G28"/>
  <c r="E28"/>
  <c r="O27"/>
  <c r="R27" s="1"/>
  <c r="N27"/>
  <c r="I27"/>
  <c r="G27"/>
  <c r="E27"/>
  <c r="O26"/>
  <c r="R26" s="1"/>
  <c r="N26"/>
  <c r="I26"/>
  <c r="G26"/>
  <c r="E26"/>
  <c r="O25"/>
  <c r="R25" s="1"/>
  <c r="N25"/>
  <c r="I25"/>
  <c r="G25"/>
  <c r="E25"/>
  <c r="O24"/>
  <c r="R24" s="1"/>
  <c r="N24"/>
  <c r="I24"/>
  <c r="G24"/>
  <c r="E24"/>
  <c r="O23"/>
  <c r="R23" s="1"/>
  <c r="N23"/>
  <c r="I23"/>
  <c r="G23"/>
  <c r="E23"/>
  <c r="O22"/>
  <c r="R22" s="1"/>
  <c r="N22"/>
  <c r="I22"/>
  <c r="G22"/>
  <c r="E22"/>
  <c r="O21"/>
  <c r="R21" s="1"/>
  <c r="N21"/>
  <c r="I21"/>
  <c r="G21"/>
  <c r="E21"/>
  <c r="O20"/>
  <c r="R20" s="1"/>
  <c r="N20"/>
  <c r="I20"/>
  <c r="G20"/>
  <c r="E20"/>
  <c r="O19"/>
  <c r="R19" s="1"/>
  <c r="N19"/>
  <c r="G19"/>
  <c r="E19"/>
  <c r="O18"/>
  <c r="R18" s="1"/>
  <c r="N18"/>
  <c r="I18"/>
  <c r="G18"/>
  <c r="E18"/>
  <c r="O17"/>
  <c r="R17" s="1"/>
  <c r="N17"/>
  <c r="I17"/>
  <c r="G17"/>
  <c r="E17"/>
  <c r="T23" l="1"/>
  <c r="T27"/>
  <c r="T31"/>
  <c r="U31" s="1"/>
  <c r="T19"/>
  <c r="U19" s="1"/>
  <c r="T18"/>
  <c r="T22"/>
  <c r="T26"/>
  <c r="U20" s="1"/>
  <c r="T30"/>
  <c r="U30" s="1"/>
  <c r="T17"/>
  <c r="U17" s="1"/>
  <c r="T21"/>
  <c r="T25"/>
  <c r="T29"/>
  <c r="U27" s="1"/>
  <c r="T20"/>
  <c r="T24"/>
  <c r="T28"/>
  <c r="E6" i="3"/>
  <c r="J5" i="4" l="1"/>
  <c r="L18" i="6" s="1"/>
  <c r="J6" i="4"/>
  <c r="L19" i="6" s="1"/>
  <c r="J7" i="4"/>
  <c r="L20" i="6" s="1"/>
  <c r="J8" i="4"/>
  <c r="L21" i="6" s="1"/>
  <c r="J9" i="4"/>
  <c r="L22" i="6" s="1"/>
  <c r="L23"/>
  <c r="J11" i="4"/>
  <c r="L24" i="6" s="1"/>
  <c r="J12" i="4"/>
  <c r="L25" i="6" s="1"/>
  <c r="J13" i="4"/>
  <c r="L26" i="6" s="1"/>
  <c r="J14" i="4"/>
  <c r="L27" i="6" s="1"/>
  <c r="J15" i="4"/>
  <c r="L28" i="6" s="1"/>
  <c r="J16" i="4"/>
  <c r="L29" i="6" s="1"/>
  <c r="J17" i="4"/>
  <c r="L30" i="6" s="1"/>
  <c r="J18" i="4"/>
  <c r="L31" i="6" s="1"/>
  <c r="QB10" i="9" l="1"/>
  <c r="PN10"/>
  <c r="OZ10"/>
  <c r="OL10"/>
  <c r="NX10"/>
  <c r="NJ10"/>
  <c r="MV10"/>
  <c r="MH10"/>
  <c r="LT10"/>
  <c r="LF10"/>
  <c r="KR10"/>
  <c r="KD10"/>
  <c r="JP10"/>
  <c r="JB10"/>
  <c r="IN10"/>
  <c r="HZ10"/>
  <c r="HL10"/>
  <c r="GX10"/>
  <c r="GJ10"/>
  <c r="FV10"/>
  <c r="FH10"/>
  <c r="ET10"/>
  <c r="EF10"/>
  <c r="DR10"/>
  <c r="DD10"/>
  <c r="CP10"/>
  <c r="CB10"/>
  <c r="BN10"/>
  <c r="AZ10"/>
  <c r="QD9"/>
  <c r="QB9"/>
  <c r="PP9"/>
  <c r="PN9"/>
  <c r="PB9"/>
  <c r="OZ9"/>
  <c r="ON9"/>
  <c r="OL9"/>
  <c r="NZ9"/>
  <c r="NX9"/>
  <c r="NL9"/>
  <c r="NJ9"/>
  <c r="MX9"/>
  <c r="MV9"/>
  <c r="MJ9"/>
  <c r="MH9"/>
  <c r="LV9"/>
  <c r="LT9"/>
  <c r="LH9"/>
  <c r="LF9"/>
  <c r="KT9"/>
  <c r="KR9"/>
  <c r="KF9"/>
  <c r="KD9"/>
  <c r="JR9"/>
  <c r="JP9"/>
  <c r="JD9"/>
  <c r="JB9"/>
  <c r="IP9"/>
  <c r="IN9"/>
  <c r="IB9"/>
  <c r="HZ9"/>
  <c r="HN9"/>
  <c r="GZ9"/>
  <c r="GL9"/>
  <c r="FX9"/>
  <c r="FJ9"/>
  <c r="EV9"/>
  <c r="EH9"/>
  <c r="DT9"/>
  <c r="DF9"/>
  <c r="CR9"/>
  <c r="CD9"/>
  <c r="BP9"/>
  <c r="BB9"/>
  <c r="QD8"/>
  <c r="QB8"/>
  <c r="PP8"/>
  <c r="PN8"/>
  <c r="PB8"/>
  <c r="OZ8"/>
  <c r="ON8"/>
  <c r="OL8"/>
  <c r="NZ8"/>
  <c r="NX8"/>
  <c r="NL8"/>
  <c r="NJ8"/>
  <c r="MX8"/>
  <c r="MV8"/>
  <c r="MJ8"/>
  <c r="MH8"/>
  <c r="LV8"/>
  <c r="LT8"/>
  <c r="LH8"/>
  <c r="LF8"/>
  <c r="KT8"/>
  <c r="KR8"/>
  <c r="KF8"/>
  <c r="KD8"/>
  <c r="JR8"/>
  <c r="JP8"/>
  <c r="JD8"/>
  <c r="JB8"/>
  <c r="IP8"/>
  <c r="IN8"/>
  <c r="IB8"/>
  <c r="HZ8"/>
  <c r="HN8"/>
  <c r="HL8"/>
  <c r="GZ8"/>
  <c r="GX8"/>
  <c r="GL8"/>
  <c r="GJ8"/>
  <c r="FX8"/>
  <c r="FV8"/>
  <c r="FJ8"/>
  <c r="FH8"/>
  <c r="EV8"/>
  <c r="ET8"/>
  <c r="EH8"/>
  <c r="EF8"/>
  <c r="DT8"/>
  <c r="DR8"/>
  <c r="DF8"/>
  <c r="DD8"/>
  <c r="CR8"/>
  <c r="CP8"/>
  <c r="CD8"/>
  <c r="CB8"/>
  <c r="BP8"/>
  <c r="BN8"/>
  <c r="BB8"/>
  <c r="AZ8"/>
  <c r="QD6"/>
  <c r="QB6"/>
  <c r="PP6"/>
  <c r="PN6"/>
  <c r="PB6"/>
  <c r="OZ6"/>
  <c r="ON6"/>
  <c r="OL6"/>
  <c r="NZ6"/>
  <c r="NX6"/>
  <c r="NL6"/>
  <c r="NJ6"/>
  <c r="MX6"/>
  <c r="MV6"/>
  <c r="MJ6"/>
  <c r="MH6"/>
  <c r="LV6"/>
  <c r="LT6"/>
  <c r="LF6"/>
  <c r="KR6"/>
  <c r="KD6"/>
  <c r="JP6"/>
  <c r="JB6"/>
  <c r="IN6"/>
  <c r="HZ6"/>
  <c r="HL6"/>
  <c r="GX6"/>
  <c r="GJ6"/>
  <c r="FV6"/>
  <c r="FH6"/>
  <c r="ET6"/>
  <c r="EF6"/>
  <c r="DR6"/>
  <c r="DD6"/>
  <c r="CP6"/>
  <c r="CB6"/>
  <c r="BN6"/>
  <c r="AZ6"/>
  <c r="QB5"/>
  <c r="PN5"/>
  <c r="OZ5"/>
  <c r="OL5"/>
  <c r="NX5"/>
  <c r="NJ5"/>
  <c r="MV5"/>
  <c r="MH5"/>
  <c r="LT5"/>
  <c r="LF5"/>
  <c r="KR5"/>
  <c r="KD5"/>
  <c r="JP5"/>
  <c r="JB5"/>
  <c r="IN5"/>
  <c r="HZ5"/>
  <c r="HL5"/>
  <c r="GX5"/>
  <c r="GJ5"/>
  <c r="FV5"/>
  <c r="FH5"/>
  <c r="ET5"/>
  <c r="EF5"/>
  <c r="DR5"/>
  <c r="DD5"/>
  <c r="CP5"/>
  <c r="CB5"/>
  <c r="BN5"/>
  <c r="AZ5"/>
  <c r="QD4"/>
  <c r="QB4"/>
  <c r="PP4"/>
  <c r="PN4"/>
  <c r="PB4"/>
  <c r="OZ4"/>
  <c r="ON4"/>
  <c r="OL4"/>
  <c r="NZ4"/>
  <c r="NX4"/>
  <c r="NL4"/>
  <c r="NJ4"/>
  <c r="MX4"/>
  <c r="MV4"/>
  <c r="MJ4"/>
  <c r="MH4"/>
  <c r="LV4"/>
  <c r="LT4"/>
  <c r="LH4"/>
  <c r="LF4"/>
  <c r="KT4"/>
  <c r="KR4"/>
  <c r="KF4"/>
  <c r="KD4"/>
  <c r="JR4"/>
  <c r="JP4"/>
  <c r="JD4"/>
  <c r="JB4"/>
  <c r="IP4"/>
  <c r="IN4"/>
  <c r="IB4"/>
  <c r="HZ4"/>
  <c r="HN4"/>
  <c r="HL4"/>
  <c r="GZ4"/>
  <c r="GX4"/>
  <c r="GL4"/>
  <c r="GJ4"/>
  <c r="FX4"/>
  <c r="FV4"/>
  <c r="FJ4"/>
  <c r="FH4"/>
  <c r="EV4"/>
  <c r="ET4"/>
  <c r="EH4"/>
  <c r="EF4"/>
  <c r="DT4"/>
  <c r="DR4"/>
  <c r="DF4"/>
  <c r="DD4"/>
  <c r="CR4"/>
  <c r="CP4"/>
  <c r="CD4"/>
  <c r="CB4"/>
  <c r="BP4"/>
  <c r="BN4"/>
  <c r="QF4"/>
  <c r="PR4"/>
  <c r="PD4"/>
  <c r="OP4"/>
  <c r="OB4"/>
  <c r="NN4"/>
  <c r="MZ4"/>
  <c r="ML4"/>
  <c r="LX4"/>
  <c r="LJ4"/>
  <c r="KV4"/>
  <c r="KH4"/>
  <c r="JT4"/>
  <c r="JF4"/>
  <c r="IR4"/>
  <c r="ID4"/>
  <c r="HP4"/>
  <c r="HB4"/>
  <c r="GN4"/>
  <c r="FZ4"/>
  <c r="FL4"/>
  <c r="EX4"/>
  <c r="EJ4"/>
  <c r="DV4"/>
  <c r="DH4"/>
  <c r="CT4"/>
  <c r="CF4"/>
  <c r="BR4"/>
  <c r="BD4"/>
  <c r="PX3"/>
  <c r="PJ3"/>
  <c r="OV3"/>
  <c r="OH3"/>
  <c r="NT3"/>
  <c r="NF3"/>
  <c r="MR3"/>
  <c r="MD3"/>
  <c r="LP3"/>
  <c r="LB3"/>
  <c r="KN3"/>
  <c r="JZ3"/>
  <c r="JL3"/>
  <c r="IX3"/>
  <c r="IJ3"/>
  <c r="HV3"/>
  <c r="HH3"/>
  <c r="GT3"/>
  <c r="GF3"/>
  <c r="FR3"/>
  <c r="FD3"/>
  <c r="EP3"/>
  <c r="EB3"/>
  <c r="DN3"/>
  <c r="CZ3"/>
  <c r="CL3"/>
  <c r="BX3"/>
  <c r="BJ3"/>
  <c r="AV3"/>
  <c r="AH3"/>
  <c r="AZ9" l="1"/>
  <c r="BN9"/>
  <c r="CB9"/>
  <c r="CP9"/>
  <c r="DD9"/>
  <c r="DR9"/>
  <c r="EF9"/>
  <c r="ET9"/>
  <c r="FH9"/>
  <c r="FV9"/>
  <c r="GJ9"/>
  <c r="GX9"/>
  <c r="HL9"/>
  <c r="BB4"/>
  <c r="AZ4"/>
  <c r="AL10"/>
  <c r="AN9"/>
  <c r="AL9"/>
  <c r="AN8"/>
  <c r="AL8"/>
  <c r="AL5"/>
  <c r="AP4"/>
  <c r="AN4"/>
  <c r="AL4"/>
  <c r="X10"/>
  <c r="Z9"/>
  <c r="Z8"/>
  <c r="X8"/>
  <c r="X5"/>
  <c r="X4"/>
  <c r="AB4"/>
  <c r="Z4"/>
  <c r="T3"/>
  <c r="N4"/>
  <c r="L4"/>
  <c r="J4"/>
  <c r="J10"/>
  <c r="L9"/>
  <c r="L8"/>
  <c r="J8"/>
  <c r="J6"/>
  <c r="J5"/>
  <c r="F3"/>
  <c r="N16" i="6" l="1"/>
  <c r="I7" i="3" l="1"/>
  <c r="I8"/>
  <c r="I9"/>
  <c r="I10"/>
  <c r="I11"/>
  <c r="I12"/>
  <c r="I13"/>
  <c r="I14"/>
  <c r="I15"/>
  <c r="I16"/>
  <c r="I17"/>
  <c r="I18"/>
  <c r="I19"/>
  <c r="I20"/>
  <c r="I21"/>
  <c r="I6"/>
  <c r="A7"/>
  <c r="C7"/>
  <c r="E7"/>
  <c r="A8"/>
  <c r="C8"/>
  <c r="E8"/>
  <c r="A9"/>
  <c r="C9"/>
  <c r="E9"/>
  <c r="A10"/>
  <c r="C10"/>
  <c r="E10"/>
  <c r="A11"/>
  <c r="C11"/>
  <c r="E11"/>
  <c r="A12"/>
  <c r="C12"/>
  <c r="E12"/>
  <c r="A13"/>
  <c r="C13"/>
  <c r="E13"/>
  <c r="A14"/>
  <c r="C14"/>
  <c r="E14"/>
  <c r="A15"/>
  <c r="C15"/>
  <c r="E15"/>
  <c r="A16"/>
  <c r="C16"/>
  <c r="E16"/>
  <c r="A17"/>
  <c r="C17"/>
  <c r="E17"/>
  <c r="A18"/>
  <c r="C18"/>
  <c r="E18"/>
  <c r="A19"/>
  <c r="C19"/>
  <c r="E19"/>
  <c r="A20"/>
  <c r="C20"/>
  <c r="E20"/>
  <c r="A21"/>
  <c r="C21"/>
  <c r="E21"/>
  <c r="C6"/>
  <c r="A6"/>
  <c r="LH6" i="9" l="1"/>
  <c r="KT6"/>
  <c r="KF6"/>
  <c r="JR6"/>
  <c r="JD6"/>
  <c r="IP6"/>
  <c r="IB6"/>
  <c r="L18" i="4"/>
  <c r="HN6" i="9" s="1"/>
  <c r="L17" i="4"/>
  <c r="GZ6" i="9" s="1"/>
  <c r="L16" i="4"/>
  <c r="GL6" i="9" s="1"/>
  <c r="L15" i="4"/>
  <c r="FX6" i="9" s="1"/>
  <c r="L14" i="4"/>
  <c r="FJ6" i="9" s="1"/>
  <c r="L13" i="4"/>
  <c r="EV6" i="9" s="1"/>
  <c r="L12" i="4"/>
  <c r="EH6" i="9" s="1"/>
  <c r="L11" i="4"/>
  <c r="DT6" i="9" s="1"/>
  <c r="L10" i="4"/>
  <c r="DF6" i="9" s="1"/>
  <c r="L9" i="4"/>
  <c r="CR6" i="9" s="1"/>
  <c r="L8" i="4"/>
  <c r="CD6" i="9" s="1"/>
  <c r="L7" i="4"/>
  <c r="BP6" i="9" s="1"/>
  <c r="L6" i="4"/>
  <c r="BB6" i="9" s="1"/>
  <c r="L5" i="4"/>
  <c r="AN6" i="9" s="1"/>
  <c r="L4" i="4"/>
  <c r="Z6" i="9" s="1"/>
  <c r="L3" i="4"/>
  <c r="L6" i="9" s="1"/>
  <c r="I16" i="6" l="1"/>
  <c r="O16"/>
  <c r="R16" s="1"/>
  <c r="G16"/>
  <c r="E16"/>
  <c r="T16" l="1"/>
  <c r="U16" l="1"/>
  <c r="U32" s="1"/>
  <c r="J4" i="4"/>
  <c r="J3"/>
  <c r="J9" i="9" s="1"/>
  <c r="L17" i="6" l="1"/>
  <c r="X9" i="9"/>
  <c r="L16" i="6"/>
</calcChain>
</file>

<file path=xl/sharedStrings.xml><?xml version="1.0" encoding="utf-8"?>
<sst xmlns="http://schemas.openxmlformats.org/spreadsheetml/2006/main" count="1335" uniqueCount="95">
  <si>
    <t>Quality</t>
  </si>
  <si>
    <t>B/BB</t>
  </si>
  <si>
    <t>PF</t>
  </si>
  <si>
    <t>Class</t>
  </si>
  <si>
    <t>CE N° 0380-CPR-800</t>
  </si>
  <si>
    <t>:</t>
  </si>
  <si>
    <t xml:space="preserve">Length </t>
  </si>
  <si>
    <t xml:space="preserve">Width </t>
  </si>
  <si>
    <t>Thickness</t>
  </si>
  <si>
    <t xml:space="preserve">No. of Pcs </t>
  </si>
  <si>
    <t>Species</t>
  </si>
  <si>
    <t xml:space="preserve">Type of Glue </t>
  </si>
  <si>
    <t xml:space="preserve">Lot Number </t>
  </si>
  <si>
    <t>GF</t>
  </si>
  <si>
    <t>Total Pallets</t>
  </si>
  <si>
    <t>/</t>
  </si>
  <si>
    <t>a</t>
  </si>
  <si>
    <t>100% OKOUME</t>
  </si>
  <si>
    <t>CONTAINER LOADING PLAN</t>
  </si>
  <si>
    <t>SIZE AND THICKNESS</t>
  </si>
  <si>
    <t>NO. OF PALLETS</t>
  </si>
  <si>
    <t>PCS. PER PALLET</t>
  </si>
  <si>
    <t>X</t>
  </si>
  <si>
    <t>MM</t>
  </si>
  <si>
    <t>S.No.</t>
  </si>
  <si>
    <t>Exportateur:</t>
  </si>
  <si>
    <t>STAR PLY GABON</t>
  </si>
  <si>
    <t>BP 1024, PLOT NO B2/B1, GSEZ,</t>
  </si>
  <si>
    <t>BP1024</t>
  </si>
  <si>
    <t>NKOK, LIBREVILLE,GABON</t>
  </si>
  <si>
    <t>LIBREVILLE GABON</t>
  </si>
  <si>
    <t>Email: starplygabon@gmail.com</t>
  </si>
  <si>
    <t>Tel: +241 66884164 , 62357222</t>
  </si>
  <si>
    <t>Destinataire:</t>
  </si>
  <si>
    <t>ROUGIER AFRIQUE INTERNATIONAL</t>
  </si>
  <si>
    <t>DATE</t>
  </si>
  <si>
    <t>Purchase Order No.</t>
  </si>
  <si>
    <t>Port of Loading</t>
  </si>
  <si>
    <t>Port of Discharge</t>
  </si>
  <si>
    <t>Conteneur</t>
  </si>
  <si>
    <t>Plomb</t>
  </si>
  <si>
    <t>Description des Biens</t>
  </si>
  <si>
    <t>Quantité</t>
  </si>
  <si>
    <t>Metre Cube</t>
  </si>
  <si>
    <t>SR.NO.</t>
  </si>
  <si>
    <t>PCS.</t>
  </si>
  <si>
    <t xml:space="preserve">(1 PACKAGE OF </t>
  </si>
  <si>
    <t>PCS.)</t>
  </si>
  <si>
    <t>Qualité</t>
  </si>
  <si>
    <t>Essence</t>
  </si>
  <si>
    <t>Numéro de palette</t>
  </si>
  <si>
    <t>FABRIQUÉ AU GABON PAR STAR PLY GABON</t>
  </si>
  <si>
    <t>Pour Industrie DuBois</t>
  </si>
  <si>
    <t>LIBREVILLE,GABON</t>
  </si>
  <si>
    <t>Species:</t>
  </si>
  <si>
    <t xml:space="preserve">100% Okoume             </t>
  </si>
  <si>
    <t>PALLET NO.</t>
  </si>
  <si>
    <t xml:space="preserve">Poids Net </t>
  </si>
  <si>
    <t>(Aucoumea Klaineana Pierre)</t>
  </si>
  <si>
    <t>Shipped Through</t>
  </si>
  <si>
    <t>Incoterm</t>
  </si>
  <si>
    <t>Selon EN 636-3S NF EN 13986: 2004 + A1: 2015</t>
  </si>
  <si>
    <t>E1</t>
  </si>
  <si>
    <t>CBM</t>
  </si>
  <si>
    <t>PO NO.</t>
  </si>
  <si>
    <r>
      <t xml:space="preserve">Size (mm) </t>
    </r>
    <r>
      <rPr>
        <b/>
        <sz val="16"/>
        <color theme="1"/>
        <rFont val="Calibri"/>
        <family val="2"/>
        <scheme val="minor"/>
      </rPr>
      <t>(Longueur X Largeur X Épaisseur)</t>
    </r>
  </si>
  <si>
    <t>DEST:</t>
  </si>
  <si>
    <t>SHIPPER</t>
  </si>
  <si>
    <t xml:space="preserve">CONSIGNEE </t>
  </si>
  <si>
    <t>DEST</t>
  </si>
  <si>
    <t xml:space="preserve">Nombre de pièces / Cubage (m3) </t>
  </si>
  <si>
    <t>Type de colle / Classe</t>
  </si>
  <si>
    <t>PO. No.</t>
  </si>
  <si>
    <t>100 % OKOUME</t>
  </si>
  <si>
    <t>ITALY</t>
  </si>
  <si>
    <t>PF/GF</t>
  </si>
  <si>
    <t>TOTAL NUMBER OF PALLETS : 16 PALLETS</t>
  </si>
  <si>
    <t>LIVORNO, ITALY</t>
  </si>
  <si>
    <t>TOTAL 16 PACKAGE</t>
  </si>
  <si>
    <t>ITALIE</t>
  </si>
  <si>
    <t>P/C: ALFANO LEGNAMI SPA</t>
  </si>
  <si>
    <t>VIALE DELLA BELLA VILLA 231</t>
  </si>
  <si>
    <t>00172 ROMA (RM)</t>
  </si>
  <si>
    <t>SPECIFICATION</t>
  </si>
  <si>
    <t>MSC</t>
  </si>
  <si>
    <t>FOB</t>
  </si>
  <si>
    <t>Contre-plaqué</t>
  </si>
  <si>
    <t>CT241203066-1</t>
  </si>
  <si>
    <t>PO  03066</t>
  </si>
  <si>
    <t>PARTY NAME / PO NO. : ROUGIER / PO 03066/4</t>
  </si>
  <si>
    <t>CONTAINER NUMBER : MSNU9517247 (MSC)</t>
  </si>
  <si>
    <t>MSNU9517247</t>
  </si>
  <si>
    <t>EU28599240</t>
  </si>
  <si>
    <t>03/01/2025</t>
  </si>
  <si>
    <t>22500 KGS</t>
  </si>
</sst>
</file>

<file path=xl/styles.xml><?xml version="1.0" encoding="utf-8"?>
<styleSheet xmlns="http://schemas.openxmlformats.org/spreadsheetml/2006/main">
  <numFmts count="1">
    <numFmt numFmtId="164" formatCode="0.000"/>
  </numFmts>
  <fonts count="38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1"/>
      <color theme="6" tint="-0.499984740745262"/>
      <name val="Lemon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Lemon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56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vertical="center"/>
    </xf>
    <xf numFmtId="0" fontId="5" fillId="0" borderId="8" xfId="0" applyFont="1" applyBorder="1" applyAlignment="1">
      <alignment vertical="center"/>
    </xf>
    <xf numFmtId="49" fontId="16" fillId="0" borderId="9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49" fontId="16" fillId="0" borderId="17" xfId="0" applyNumberFormat="1" applyFont="1" applyBorder="1" applyAlignment="1">
      <alignment vertical="center"/>
    </xf>
    <xf numFmtId="49" fontId="16" fillId="0" borderId="10" xfId="0" applyNumberFormat="1" applyFont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3" fillId="0" borderId="22" xfId="0" applyFont="1" applyBorder="1"/>
    <xf numFmtId="0" fontId="5" fillId="0" borderId="23" xfId="0" applyFont="1" applyBorder="1" applyAlignment="1">
      <alignment horizontal="center" vertical="center"/>
    </xf>
    <xf numFmtId="0" fontId="14" fillId="0" borderId="24" xfId="0" applyFont="1" applyBorder="1"/>
    <xf numFmtId="0" fontId="0" fillId="0" borderId="25" xfId="0" applyBorder="1"/>
    <xf numFmtId="0" fontId="15" fillId="0" borderId="24" xfId="0" applyFont="1" applyBorder="1" applyAlignment="1">
      <alignment vertical="center"/>
    </xf>
    <xf numFmtId="0" fontId="5" fillId="0" borderId="24" xfId="0" applyFont="1" applyBorder="1"/>
    <xf numFmtId="0" fontId="0" fillId="0" borderId="26" xfId="0" applyBorder="1"/>
    <xf numFmtId="0" fontId="5" fillId="0" borderId="27" xfId="0" applyFont="1" applyBorder="1" applyAlignment="1">
      <alignment horizontal="center" vertical="center"/>
    </xf>
    <xf numFmtId="0" fontId="17" fillId="0" borderId="22" xfId="0" applyFont="1" applyBorder="1"/>
    <xf numFmtId="0" fontId="0" fillId="0" borderId="23" xfId="0" applyBorder="1" applyAlignment="1">
      <alignment vertical="center"/>
    </xf>
    <xf numFmtId="0" fontId="17" fillId="0" borderId="24" xfId="0" applyFont="1" applyBorder="1"/>
    <xf numFmtId="0" fontId="18" fillId="0" borderId="24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0" fillId="0" borderId="27" xfId="0" applyBorder="1"/>
    <xf numFmtId="0" fontId="20" fillId="4" borderId="1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6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26" fillId="0" borderId="7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164" fontId="12" fillId="0" borderId="3" xfId="0" applyNumberFormat="1" applyFont="1" applyBorder="1" applyAlignment="1">
      <alignment horizontal="center"/>
    </xf>
    <xf numFmtId="164" fontId="10" fillId="0" borderId="25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64" fontId="31" fillId="0" borderId="0" xfId="0" applyNumberFormat="1" applyFont="1" applyAlignment="1">
      <alignment vertical="center"/>
    </xf>
    <xf numFmtId="164" fontId="3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0" fillId="0" borderId="4" xfId="0" applyBorder="1"/>
    <xf numFmtId="0" fontId="21" fillId="0" borderId="33" xfId="0" applyFont="1" applyBorder="1"/>
    <xf numFmtId="0" fontId="21" fillId="0" borderId="31" xfId="0" applyFont="1" applyBorder="1"/>
    <xf numFmtId="0" fontId="21" fillId="0" borderId="34" xfId="0" applyFont="1" applyBorder="1"/>
    <xf numFmtId="164" fontId="0" fillId="0" borderId="2" xfId="0" applyNumberFormat="1" applyBorder="1" applyAlignment="1">
      <alignment horizontal="center"/>
    </xf>
    <xf numFmtId="164" fontId="12" fillId="0" borderId="35" xfId="0" applyNumberFormat="1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19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2" fillId="0" borderId="0" xfId="0" applyFont="1" applyBorder="1"/>
    <xf numFmtId="49" fontId="5" fillId="0" borderId="0" xfId="0" applyNumberFormat="1" applyFont="1" applyBorder="1" applyAlignment="1">
      <alignment vertical="center"/>
    </xf>
    <xf numFmtId="49" fontId="16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8" fillId="0" borderId="31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2" fillId="4" borderId="1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22" fillId="0" borderId="16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1</xdr:row>
      <xdr:rowOff>190500</xdr:rowOff>
    </xdr:from>
    <xdr:to>
      <xdr:col>12</xdr:col>
      <xdr:colOff>85726</xdr:colOff>
      <xdr:row>5</xdr:row>
      <xdr:rowOff>180419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429126" y="390525"/>
          <a:ext cx="819150" cy="7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4.4"/>
  <cols>
    <col min="1" max="1" width="7.44140625" style="2" bestFit="1" customWidth="1"/>
    <col min="2" max="2" width="9.33203125" style="2" bestFit="1" customWidth="1"/>
    <col min="3" max="3" width="8.5546875" style="2" bestFit="1" customWidth="1"/>
    <col min="4" max="4" width="12" style="2" bestFit="1" customWidth="1"/>
    <col min="5" max="5" width="9.109375" style="2" bestFit="1" customWidth="1"/>
    <col min="6" max="6" width="12.88671875" style="2" bestFit="1" customWidth="1"/>
    <col min="7" max="7" width="18.88671875" style="2" bestFit="1" customWidth="1"/>
    <col min="8" max="8" width="16.44140625" style="2" customWidth="1"/>
    <col min="9" max="9" width="6.88671875" style="2" bestFit="1" customWidth="1"/>
    <col min="10" max="10" width="15" style="2" bestFit="1" customWidth="1"/>
    <col min="11" max="11" width="14.5546875" style="2" bestFit="1" customWidth="1"/>
    <col min="12" max="12" width="11.88671875" customWidth="1"/>
    <col min="13" max="13" width="4.88671875" style="2" customWidth="1"/>
    <col min="14" max="14" width="12.33203125" bestFit="1" customWidth="1"/>
    <col min="17" max="17" width="4" customWidth="1"/>
  </cols>
  <sheetData>
    <row r="1" spans="1:16" ht="28.5" customHeight="1" thickBot="1">
      <c r="A1" s="124" t="s">
        <v>64</v>
      </c>
      <c r="B1" s="124"/>
      <c r="C1" s="125" t="s">
        <v>87</v>
      </c>
      <c r="D1" s="125"/>
      <c r="E1" s="125"/>
      <c r="G1" s="124" t="s">
        <v>66</v>
      </c>
      <c r="H1" s="124"/>
      <c r="I1" s="125" t="s">
        <v>74</v>
      </c>
      <c r="J1" s="125"/>
      <c r="K1" s="125"/>
    </row>
    <row r="2" spans="1:16" ht="29.25" customHeight="1">
      <c r="A2" s="11" t="s">
        <v>24</v>
      </c>
      <c r="B2" s="12" t="s">
        <v>6</v>
      </c>
      <c r="C2" s="12" t="s">
        <v>7</v>
      </c>
      <c r="D2" s="12" t="s">
        <v>8</v>
      </c>
      <c r="E2" s="12" t="s">
        <v>0</v>
      </c>
      <c r="F2" s="12" t="s">
        <v>9</v>
      </c>
      <c r="G2" s="12" t="s">
        <v>10</v>
      </c>
      <c r="H2" s="13" t="s">
        <v>11</v>
      </c>
      <c r="I2" s="12" t="s">
        <v>3</v>
      </c>
      <c r="J2" s="12" t="s">
        <v>12</v>
      </c>
      <c r="K2" s="14" t="s">
        <v>14</v>
      </c>
      <c r="L2" s="14" t="s">
        <v>63</v>
      </c>
      <c r="M2" s="17"/>
      <c r="N2" s="121" t="s">
        <v>74</v>
      </c>
      <c r="O2" s="122"/>
      <c r="P2" s="123"/>
    </row>
    <row r="3" spans="1:16" ht="18">
      <c r="A3" s="15">
        <v>1</v>
      </c>
      <c r="B3" s="10">
        <v>2500</v>
      </c>
      <c r="C3" s="10">
        <v>1220</v>
      </c>
      <c r="D3" s="10">
        <v>5</v>
      </c>
      <c r="E3" s="10" t="s">
        <v>1</v>
      </c>
      <c r="F3" s="10">
        <v>176</v>
      </c>
      <c r="G3" s="10" t="s">
        <v>17</v>
      </c>
      <c r="H3" s="10" t="s">
        <v>2</v>
      </c>
      <c r="I3" s="10" t="s">
        <v>62</v>
      </c>
      <c r="J3" s="10">
        <f>+A3</f>
        <v>1</v>
      </c>
      <c r="K3" s="16">
        <v>16</v>
      </c>
      <c r="L3" s="73">
        <f>+B3*C3*D3*F3/1000000000</f>
        <v>2.6840000000000002</v>
      </c>
      <c r="M3" s="9"/>
      <c r="N3" s="89" t="s">
        <v>8</v>
      </c>
      <c r="O3" s="89" t="s">
        <v>45</v>
      </c>
      <c r="P3" s="89" t="s">
        <v>75</v>
      </c>
    </row>
    <row r="4" spans="1:16" ht="18">
      <c r="A4" s="15">
        <v>2</v>
      </c>
      <c r="B4" s="10">
        <v>2500</v>
      </c>
      <c r="C4" s="10">
        <v>1220</v>
      </c>
      <c r="D4" s="10">
        <v>10</v>
      </c>
      <c r="E4" s="10" t="s">
        <v>1</v>
      </c>
      <c r="F4" s="10">
        <v>88</v>
      </c>
      <c r="G4" s="10" t="s">
        <v>17</v>
      </c>
      <c r="H4" s="10" t="s">
        <v>2</v>
      </c>
      <c r="I4" s="10" t="s">
        <v>62</v>
      </c>
      <c r="J4" s="10">
        <f t="shared" ref="J4:J18" si="0">+A4</f>
        <v>2</v>
      </c>
      <c r="K4" s="16">
        <v>16</v>
      </c>
      <c r="L4" s="73">
        <f t="shared" ref="L4:L18" si="1">+B4*C4*D4*F4/1000000000</f>
        <v>2.6840000000000002</v>
      </c>
      <c r="M4" s="9"/>
      <c r="N4" s="88">
        <v>3</v>
      </c>
      <c r="O4" s="10">
        <v>220</v>
      </c>
      <c r="P4" s="91" t="s">
        <v>2</v>
      </c>
    </row>
    <row r="5" spans="1:16" ht="18">
      <c r="A5" s="15">
        <v>3</v>
      </c>
      <c r="B5" s="10">
        <v>2500</v>
      </c>
      <c r="C5" s="10">
        <v>1220</v>
      </c>
      <c r="D5" s="10">
        <v>10</v>
      </c>
      <c r="E5" s="10" t="s">
        <v>1</v>
      </c>
      <c r="F5" s="10">
        <v>88</v>
      </c>
      <c r="G5" s="10" t="s">
        <v>17</v>
      </c>
      <c r="H5" s="10" t="s">
        <v>2</v>
      </c>
      <c r="I5" s="10" t="s">
        <v>62</v>
      </c>
      <c r="J5" s="10">
        <f t="shared" si="0"/>
        <v>3</v>
      </c>
      <c r="K5" s="16">
        <v>16</v>
      </c>
      <c r="L5" s="73">
        <f t="shared" si="1"/>
        <v>2.6840000000000002</v>
      </c>
      <c r="M5" s="9"/>
      <c r="N5" s="88">
        <v>4</v>
      </c>
      <c r="O5" s="10">
        <v>200</v>
      </c>
      <c r="P5" s="91" t="s">
        <v>2</v>
      </c>
    </row>
    <row r="6" spans="1:16" ht="18">
      <c r="A6" s="15">
        <v>4</v>
      </c>
      <c r="B6" s="10">
        <v>2500</v>
      </c>
      <c r="C6" s="10">
        <v>1220</v>
      </c>
      <c r="D6" s="10">
        <v>22</v>
      </c>
      <c r="E6" s="10" t="s">
        <v>1</v>
      </c>
      <c r="F6" s="10">
        <v>40</v>
      </c>
      <c r="G6" s="10" t="s">
        <v>17</v>
      </c>
      <c r="H6" s="10" t="s">
        <v>2</v>
      </c>
      <c r="I6" s="10" t="s">
        <v>62</v>
      </c>
      <c r="J6" s="10">
        <f t="shared" si="0"/>
        <v>4</v>
      </c>
      <c r="K6" s="16">
        <v>16</v>
      </c>
      <c r="L6" s="73">
        <f t="shared" si="1"/>
        <v>2.6840000000000002</v>
      </c>
      <c r="M6" s="9"/>
      <c r="N6" s="88">
        <v>5</v>
      </c>
      <c r="O6" s="10">
        <v>176</v>
      </c>
      <c r="P6" s="91" t="s">
        <v>2</v>
      </c>
    </row>
    <row r="7" spans="1:16" ht="18">
      <c r="A7" s="15">
        <v>5</v>
      </c>
      <c r="B7" s="10">
        <v>3100</v>
      </c>
      <c r="C7" s="10">
        <v>1530</v>
      </c>
      <c r="D7" s="10">
        <v>10</v>
      </c>
      <c r="E7" s="10" t="s">
        <v>1</v>
      </c>
      <c r="F7" s="10">
        <v>67</v>
      </c>
      <c r="G7" s="10" t="s">
        <v>17</v>
      </c>
      <c r="H7" s="10" t="s">
        <v>2</v>
      </c>
      <c r="I7" s="10" t="s">
        <v>62</v>
      </c>
      <c r="J7" s="10">
        <f t="shared" si="0"/>
        <v>5</v>
      </c>
      <c r="K7" s="16">
        <v>16</v>
      </c>
      <c r="L7" s="73">
        <f t="shared" si="1"/>
        <v>3.17781</v>
      </c>
      <c r="M7" s="9"/>
      <c r="N7" s="88">
        <v>6</v>
      </c>
      <c r="O7" s="10">
        <v>146</v>
      </c>
      <c r="P7" s="91" t="s">
        <v>2</v>
      </c>
    </row>
    <row r="8" spans="1:16" ht="18">
      <c r="A8" s="15">
        <v>6</v>
      </c>
      <c r="B8" s="10">
        <v>3100</v>
      </c>
      <c r="C8" s="10">
        <v>1530</v>
      </c>
      <c r="D8" s="10">
        <v>10</v>
      </c>
      <c r="E8" s="10" t="s">
        <v>1</v>
      </c>
      <c r="F8" s="10">
        <v>67</v>
      </c>
      <c r="G8" s="10" t="s">
        <v>17</v>
      </c>
      <c r="H8" s="10" t="s">
        <v>2</v>
      </c>
      <c r="I8" s="10" t="s">
        <v>62</v>
      </c>
      <c r="J8" s="10">
        <f t="shared" si="0"/>
        <v>6</v>
      </c>
      <c r="K8" s="16">
        <v>16</v>
      </c>
      <c r="L8" s="73">
        <f t="shared" si="1"/>
        <v>3.17781</v>
      </c>
      <c r="M8" s="9"/>
      <c r="N8" s="88">
        <v>8</v>
      </c>
      <c r="O8" s="10">
        <v>106</v>
      </c>
      <c r="P8" s="91" t="s">
        <v>2</v>
      </c>
    </row>
    <row r="9" spans="1:16" ht="18">
      <c r="A9" s="15">
        <v>7</v>
      </c>
      <c r="B9" s="10">
        <v>3100</v>
      </c>
      <c r="C9" s="10">
        <v>1530</v>
      </c>
      <c r="D9" s="10">
        <v>10</v>
      </c>
      <c r="E9" s="10" t="s">
        <v>1</v>
      </c>
      <c r="F9" s="10">
        <v>67</v>
      </c>
      <c r="G9" s="10" t="s">
        <v>17</v>
      </c>
      <c r="H9" s="10" t="s">
        <v>2</v>
      </c>
      <c r="I9" s="10" t="s">
        <v>62</v>
      </c>
      <c r="J9" s="10">
        <f t="shared" si="0"/>
        <v>7</v>
      </c>
      <c r="K9" s="16">
        <v>16</v>
      </c>
      <c r="L9" s="73">
        <f t="shared" si="1"/>
        <v>3.17781</v>
      </c>
      <c r="M9" s="9"/>
      <c r="N9" s="88">
        <v>10</v>
      </c>
      <c r="O9" s="10">
        <v>88</v>
      </c>
      <c r="P9" s="91" t="s">
        <v>2</v>
      </c>
    </row>
    <row r="10" spans="1:16" ht="18">
      <c r="A10" s="15">
        <v>8</v>
      </c>
      <c r="B10" s="10">
        <v>3100</v>
      </c>
      <c r="C10" s="10">
        <v>1530</v>
      </c>
      <c r="D10" s="10">
        <v>10</v>
      </c>
      <c r="E10" s="10" t="s">
        <v>1</v>
      </c>
      <c r="F10" s="10">
        <v>67</v>
      </c>
      <c r="G10" s="10" t="s">
        <v>17</v>
      </c>
      <c r="H10" s="10" t="s">
        <v>2</v>
      </c>
      <c r="I10" s="10" t="s">
        <v>62</v>
      </c>
      <c r="J10" s="10">
        <v>8</v>
      </c>
      <c r="K10" s="16">
        <v>16</v>
      </c>
      <c r="L10" s="73">
        <f t="shared" si="1"/>
        <v>3.17781</v>
      </c>
      <c r="M10" s="9"/>
      <c r="N10" s="88">
        <v>12</v>
      </c>
      <c r="O10" s="10">
        <v>72</v>
      </c>
      <c r="P10" s="91" t="s">
        <v>2</v>
      </c>
    </row>
    <row r="11" spans="1:16" ht="18">
      <c r="A11" s="15">
        <v>9</v>
      </c>
      <c r="B11" s="10">
        <v>3100</v>
      </c>
      <c r="C11" s="10">
        <v>1530</v>
      </c>
      <c r="D11" s="10">
        <v>10</v>
      </c>
      <c r="E11" s="10" t="s">
        <v>1</v>
      </c>
      <c r="F11" s="10">
        <v>67</v>
      </c>
      <c r="G11" s="10" t="s">
        <v>17</v>
      </c>
      <c r="H11" s="10" t="s">
        <v>2</v>
      </c>
      <c r="I11" s="10" t="s">
        <v>62</v>
      </c>
      <c r="J11" s="10">
        <f t="shared" si="0"/>
        <v>9</v>
      </c>
      <c r="K11" s="16">
        <v>16</v>
      </c>
      <c r="L11" s="73">
        <f t="shared" si="1"/>
        <v>3.17781</v>
      </c>
      <c r="M11" s="9"/>
      <c r="N11" s="88">
        <v>15</v>
      </c>
      <c r="O11" s="10">
        <v>58</v>
      </c>
      <c r="P11" s="91" t="s">
        <v>2</v>
      </c>
    </row>
    <row r="12" spans="1:16" ht="18">
      <c r="A12" s="15">
        <v>10</v>
      </c>
      <c r="B12" s="10">
        <v>3100</v>
      </c>
      <c r="C12" s="10">
        <v>1530</v>
      </c>
      <c r="D12" s="10">
        <v>10</v>
      </c>
      <c r="E12" s="10" t="s">
        <v>1</v>
      </c>
      <c r="F12" s="10">
        <v>67</v>
      </c>
      <c r="G12" s="10" t="s">
        <v>17</v>
      </c>
      <c r="H12" s="10" t="s">
        <v>2</v>
      </c>
      <c r="I12" s="10" t="s">
        <v>62</v>
      </c>
      <c r="J12" s="10">
        <f t="shared" si="0"/>
        <v>10</v>
      </c>
      <c r="K12" s="16">
        <v>16</v>
      </c>
      <c r="L12" s="73">
        <f t="shared" si="1"/>
        <v>3.17781</v>
      </c>
      <c r="M12" s="9"/>
      <c r="N12" s="88">
        <v>18</v>
      </c>
      <c r="O12" s="10">
        <v>49</v>
      </c>
      <c r="P12" s="91" t="s">
        <v>2</v>
      </c>
    </row>
    <row r="13" spans="1:16" ht="18">
      <c r="A13" s="15">
        <v>11</v>
      </c>
      <c r="B13" s="10">
        <v>3100</v>
      </c>
      <c r="C13" s="10">
        <v>1530</v>
      </c>
      <c r="D13" s="10">
        <v>10</v>
      </c>
      <c r="E13" s="10" t="s">
        <v>1</v>
      </c>
      <c r="F13" s="10">
        <v>67</v>
      </c>
      <c r="G13" s="10" t="s">
        <v>17</v>
      </c>
      <c r="H13" s="10" t="s">
        <v>2</v>
      </c>
      <c r="I13" s="10" t="s">
        <v>62</v>
      </c>
      <c r="J13" s="10">
        <f t="shared" si="0"/>
        <v>11</v>
      </c>
      <c r="K13" s="16">
        <v>16</v>
      </c>
      <c r="L13" s="73">
        <f t="shared" si="1"/>
        <v>3.17781</v>
      </c>
      <c r="M13" s="9"/>
      <c r="N13" s="88">
        <v>19</v>
      </c>
      <c r="O13" s="10">
        <v>46</v>
      </c>
      <c r="P13" s="91" t="s">
        <v>2</v>
      </c>
    </row>
    <row r="14" spans="1:16" ht="18">
      <c r="A14" s="15">
        <v>12</v>
      </c>
      <c r="B14" s="10">
        <v>3100</v>
      </c>
      <c r="C14" s="10">
        <v>1530</v>
      </c>
      <c r="D14" s="10">
        <v>20</v>
      </c>
      <c r="E14" s="10" t="s">
        <v>1</v>
      </c>
      <c r="F14" s="10">
        <v>33</v>
      </c>
      <c r="G14" s="10" t="s">
        <v>17</v>
      </c>
      <c r="H14" s="10" t="s">
        <v>2</v>
      </c>
      <c r="I14" s="10" t="s">
        <v>62</v>
      </c>
      <c r="J14" s="10">
        <f t="shared" si="0"/>
        <v>12</v>
      </c>
      <c r="K14" s="16">
        <v>16</v>
      </c>
      <c r="L14" s="73">
        <f t="shared" si="1"/>
        <v>3.1303800000000002</v>
      </c>
      <c r="M14" s="9"/>
      <c r="N14" s="88">
        <v>20</v>
      </c>
      <c r="O14" s="10">
        <v>46</v>
      </c>
      <c r="P14" s="91" t="s">
        <v>2</v>
      </c>
    </row>
    <row r="15" spans="1:16" ht="18">
      <c r="A15" s="15">
        <v>13</v>
      </c>
      <c r="B15" s="10">
        <v>3100</v>
      </c>
      <c r="C15" s="10">
        <v>1530</v>
      </c>
      <c r="D15" s="10">
        <v>20</v>
      </c>
      <c r="E15" s="10" t="s">
        <v>1</v>
      </c>
      <c r="F15" s="10">
        <v>33</v>
      </c>
      <c r="G15" s="10" t="s">
        <v>17</v>
      </c>
      <c r="H15" s="10" t="s">
        <v>2</v>
      </c>
      <c r="I15" s="10" t="s">
        <v>62</v>
      </c>
      <c r="J15" s="10">
        <f t="shared" si="0"/>
        <v>13</v>
      </c>
      <c r="K15" s="16">
        <v>16</v>
      </c>
      <c r="L15" s="73">
        <f t="shared" si="1"/>
        <v>3.1303800000000002</v>
      </c>
      <c r="M15" s="9"/>
      <c r="N15" s="88">
        <v>22</v>
      </c>
      <c r="O15" s="10">
        <v>40</v>
      </c>
      <c r="P15" s="91" t="s">
        <v>2</v>
      </c>
    </row>
    <row r="16" spans="1:16" ht="18">
      <c r="A16" s="15">
        <v>14</v>
      </c>
      <c r="B16" s="10">
        <v>3100</v>
      </c>
      <c r="C16" s="10">
        <v>1530</v>
      </c>
      <c r="D16" s="10">
        <v>20</v>
      </c>
      <c r="E16" s="10" t="s">
        <v>1</v>
      </c>
      <c r="F16" s="10">
        <v>33</v>
      </c>
      <c r="G16" s="10" t="s">
        <v>17</v>
      </c>
      <c r="H16" s="10" t="s">
        <v>2</v>
      </c>
      <c r="I16" s="10" t="s">
        <v>62</v>
      </c>
      <c r="J16" s="10">
        <f t="shared" si="0"/>
        <v>14</v>
      </c>
      <c r="K16" s="16">
        <v>16</v>
      </c>
      <c r="L16" s="73">
        <f t="shared" si="1"/>
        <v>3.1303800000000002</v>
      </c>
      <c r="M16" s="9"/>
      <c r="N16" s="88">
        <v>25</v>
      </c>
      <c r="O16" s="10">
        <v>35</v>
      </c>
      <c r="P16" s="91" t="s">
        <v>2</v>
      </c>
    </row>
    <row r="17" spans="1:16" ht="18">
      <c r="A17" s="15">
        <v>15</v>
      </c>
      <c r="B17" s="10">
        <v>3100</v>
      </c>
      <c r="C17" s="10">
        <v>1530</v>
      </c>
      <c r="D17" s="10">
        <v>22</v>
      </c>
      <c r="E17" s="10" t="s">
        <v>1</v>
      </c>
      <c r="F17" s="10">
        <v>30</v>
      </c>
      <c r="G17" s="10" t="s">
        <v>17</v>
      </c>
      <c r="H17" s="10" t="s">
        <v>2</v>
      </c>
      <c r="I17" s="10" t="s">
        <v>62</v>
      </c>
      <c r="J17" s="10">
        <f t="shared" si="0"/>
        <v>15</v>
      </c>
      <c r="K17" s="16">
        <v>16</v>
      </c>
      <c r="L17" s="73">
        <f t="shared" si="1"/>
        <v>3.1303800000000002</v>
      </c>
      <c r="M17" s="9"/>
      <c r="N17" s="88">
        <v>30</v>
      </c>
      <c r="O17" s="10">
        <v>29</v>
      </c>
      <c r="P17" s="91" t="s">
        <v>2</v>
      </c>
    </row>
    <row r="18" spans="1:16" ht="18">
      <c r="A18" s="15">
        <v>16</v>
      </c>
      <c r="B18" s="10">
        <v>3100</v>
      </c>
      <c r="C18" s="10">
        <v>1530</v>
      </c>
      <c r="D18" s="10">
        <v>30</v>
      </c>
      <c r="E18" s="10" t="s">
        <v>1</v>
      </c>
      <c r="F18" s="10">
        <v>22</v>
      </c>
      <c r="G18" s="10" t="s">
        <v>17</v>
      </c>
      <c r="H18" s="10" t="s">
        <v>2</v>
      </c>
      <c r="I18" s="10" t="s">
        <v>62</v>
      </c>
      <c r="J18" s="10">
        <f t="shared" si="0"/>
        <v>16</v>
      </c>
      <c r="K18" s="16">
        <v>16</v>
      </c>
      <c r="L18" s="73">
        <f t="shared" si="1"/>
        <v>3.1303800000000002</v>
      </c>
      <c r="M18" s="9"/>
      <c r="N18" s="88">
        <v>35</v>
      </c>
      <c r="O18" s="10">
        <v>25</v>
      </c>
      <c r="P18" s="91" t="s">
        <v>2</v>
      </c>
    </row>
    <row r="19" spans="1:16" ht="18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6"/>
      <c r="L19" s="73"/>
      <c r="M19" s="9"/>
      <c r="N19" s="88">
        <v>40</v>
      </c>
      <c r="O19" s="10">
        <v>22</v>
      </c>
      <c r="P19" s="91" t="s">
        <v>2</v>
      </c>
    </row>
    <row r="20" spans="1:16" ht="18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6"/>
      <c r="L20" s="73"/>
      <c r="M20" s="9"/>
      <c r="N20" s="90">
        <v>4</v>
      </c>
      <c r="O20" s="5">
        <v>168</v>
      </c>
      <c r="P20" s="89" t="s">
        <v>13</v>
      </c>
    </row>
    <row r="21" spans="1:16" ht="18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6"/>
      <c r="L21" s="73"/>
      <c r="M21" s="9"/>
      <c r="N21" s="90">
        <v>5</v>
      </c>
      <c r="O21" s="5">
        <v>134</v>
      </c>
      <c r="P21" s="89" t="s">
        <v>13</v>
      </c>
    </row>
    <row r="22" spans="1:16" ht="18">
      <c r="A22" s="15"/>
      <c r="B22" s="10"/>
      <c r="C22" s="10"/>
      <c r="D22" s="10"/>
      <c r="E22" s="10"/>
      <c r="F22" s="10"/>
      <c r="G22" s="10"/>
      <c r="H22" s="10"/>
      <c r="I22" s="10"/>
      <c r="J22" s="10"/>
      <c r="K22" s="16"/>
      <c r="L22" s="73"/>
      <c r="M22" s="9"/>
      <c r="N22" s="90">
        <v>6</v>
      </c>
      <c r="O22" s="5">
        <v>112</v>
      </c>
      <c r="P22" s="89" t="s">
        <v>13</v>
      </c>
    </row>
    <row r="23" spans="1:16" ht="18">
      <c r="A23" s="15"/>
      <c r="B23" s="10"/>
      <c r="C23" s="10"/>
      <c r="D23" s="10"/>
      <c r="E23" s="10"/>
      <c r="F23" s="10"/>
      <c r="G23" s="10"/>
      <c r="H23" s="10"/>
      <c r="I23" s="10"/>
      <c r="J23" s="10"/>
      <c r="K23" s="16"/>
      <c r="L23" s="73"/>
      <c r="M23" s="9"/>
      <c r="N23" s="90">
        <v>8</v>
      </c>
      <c r="O23" s="5">
        <v>81</v>
      </c>
      <c r="P23" s="89" t="s">
        <v>13</v>
      </c>
    </row>
    <row r="24" spans="1:16" ht="18">
      <c r="A24" s="15"/>
      <c r="B24" s="10"/>
      <c r="C24" s="10"/>
      <c r="D24" s="10"/>
      <c r="E24" s="10"/>
      <c r="F24" s="10"/>
      <c r="G24" s="10"/>
      <c r="H24" s="10"/>
      <c r="I24" s="10"/>
      <c r="J24" s="10"/>
      <c r="K24" s="16"/>
      <c r="L24" s="73"/>
      <c r="M24" s="9"/>
      <c r="N24" s="90">
        <v>10</v>
      </c>
      <c r="O24" s="5">
        <v>67</v>
      </c>
      <c r="P24" s="89" t="s">
        <v>13</v>
      </c>
    </row>
    <row r="25" spans="1:16" ht="18">
      <c r="A25" s="15"/>
      <c r="B25" s="10"/>
      <c r="C25" s="10"/>
      <c r="D25" s="10"/>
      <c r="E25" s="10"/>
      <c r="F25" s="10"/>
      <c r="G25" s="10"/>
      <c r="H25" s="10"/>
      <c r="I25" s="10"/>
      <c r="J25" s="10"/>
      <c r="K25" s="16"/>
      <c r="L25" s="73"/>
      <c r="M25" s="9"/>
      <c r="N25" s="90">
        <v>12</v>
      </c>
      <c r="O25" s="5">
        <v>55</v>
      </c>
      <c r="P25" s="89" t="s">
        <v>13</v>
      </c>
    </row>
    <row r="26" spans="1:16" ht="18">
      <c r="A26" s="15"/>
      <c r="B26" s="10"/>
      <c r="C26" s="10"/>
      <c r="D26" s="10"/>
      <c r="E26" s="10"/>
      <c r="F26" s="10"/>
      <c r="G26" s="10"/>
      <c r="H26" s="10"/>
      <c r="I26" s="10"/>
      <c r="J26" s="10"/>
      <c r="K26" s="16"/>
      <c r="L26" s="73"/>
      <c r="M26" s="9"/>
      <c r="N26" s="90">
        <v>15</v>
      </c>
      <c r="O26" s="5">
        <v>45</v>
      </c>
      <c r="P26" s="89" t="s">
        <v>13</v>
      </c>
    </row>
    <row r="27" spans="1:16" ht="18">
      <c r="A27" s="15"/>
      <c r="B27" s="10"/>
      <c r="C27" s="10"/>
      <c r="D27" s="10"/>
      <c r="E27" s="10"/>
      <c r="F27" s="10"/>
      <c r="G27" s="10"/>
      <c r="H27" s="10"/>
      <c r="I27" s="10"/>
      <c r="J27" s="10"/>
      <c r="K27" s="16"/>
      <c r="L27" s="73"/>
      <c r="M27" s="9"/>
      <c r="N27" s="90">
        <v>18</v>
      </c>
      <c r="O27" s="5">
        <v>37</v>
      </c>
      <c r="P27" s="89" t="s">
        <v>13</v>
      </c>
    </row>
    <row r="28" spans="1:16" ht="18">
      <c r="A28" s="15"/>
      <c r="B28" s="10"/>
      <c r="C28" s="10"/>
      <c r="D28" s="10"/>
      <c r="E28" s="10"/>
      <c r="F28" s="10"/>
      <c r="G28" s="10"/>
      <c r="H28" s="10"/>
      <c r="I28" s="10"/>
      <c r="J28" s="10"/>
      <c r="K28" s="16"/>
      <c r="L28" s="73"/>
      <c r="M28" s="9"/>
      <c r="N28" s="90">
        <v>19</v>
      </c>
      <c r="O28" s="5">
        <v>33</v>
      </c>
      <c r="P28" s="89" t="s">
        <v>13</v>
      </c>
    </row>
    <row r="29" spans="1:16" ht="18">
      <c r="A29" s="15"/>
      <c r="B29" s="10"/>
      <c r="C29" s="10"/>
      <c r="D29" s="10"/>
      <c r="E29" s="10"/>
      <c r="F29" s="10"/>
      <c r="G29" s="10"/>
      <c r="H29" s="10"/>
      <c r="I29" s="10"/>
      <c r="J29" s="10"/>
      <c r="K29" s="16"/>
      <c r="L29" s="73"/>
      <c r="M29" s="9"/>
      <c r="N29" s="90">
        <v>20</v>
      </c>
      <c r="O29" s="5">
        <v>33</v>
      </c>
      <c r="P29" s="89" t="s">
        <v>13</v>
      </c>
    </row>
    <row r="30" spans="1:16" ht="18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6"/>
      <c r="L30" s="73"/>
      <c r="M30" s="9"/>
      <c r="N30" s="90">
        <v>22</v>
      </c>
      <c r="O30" s="5">
        <v>30</v>
      </c>
      <c r="P30" s="89" t="s">
        <v>13</v>
      </c>
    </row>
    <row r="31" spans="1:16" ht="18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6"/>
      <c r="L31" s="73"/>
      <c r="M31" s="9"/>
      <c r="N31" s="90">
        <v>25</v>
      </c>
      <c r="O31" s="5">
        <v>26</v>
      </c>
      <c r="P31" s="89" t="s">
        <v>13</v>
      </c>
    </row>
    <row r="32" spans="1:16" ht="18">
      <c r="A32" s="15"/>
      <c r="B32" s="10"/>
      <c r="C32" s="10"/>
      <c r="D32" s="10"/>
      <c r="E32" s="10"/>
      <c r="F32" s="10"/>
      <c r="G32" s="10"/>
      <c r="H32" s="10"/>
      <c r="I32" s="10"/>
      <c r="J32" s="10"/>
      <c r="K32" s="16"/>
      <c r="L32" s="73"/>
      <c r="M32" s="9"/>
      <c r="N32" s="90">
        <v>30</v>
      </c>
      <c r="O32" s="5">
        <v>22</v>
      </c>
      <c r="P32" s="89" t="s">
        <v>13</v>
      </c>
    </row>
    <row r="33" spans="1:16" ht="18">
      <c r="A33" s="15"/>
      <c r="B33" s="10"/>
      <c r="C33" s="10"/>
      <c r="D33" s="10"/>
      <c r="E33" s="10"/>
      <c r="F33" s="10"/>
      <c r="G33" s="10"/>
      <c r="H33" s="10"/>
      <c r="I33" s="10"/>
      <c r="J33" s="10"/>
      <c r="K33" s="16"/>
      <c r="L33" s="73"/>
      <c r="M33" s="9"/>
      <c r="N33" s="90">
        <v>35</v>
      </c>
      <c r="O33" s="5">
        <v>19</v>
      </c>
      <c r="P33" s="89" t="s">
        <v>13</v>
      </c>
    </row>
    <row r="34" spans="1:16" ht="18">
      <c r="A34" s="15"/>
      <c r="B34" s="10"/>
      <c r="C34" s="10"/>
      <c r="D34" s="10"/>
      <c r="E34" s="10"/>
      <c r="F34" s="10"/>
      <c r="G34" s="10"/>
      <c r="H34" s="10"/>
      <c r="I34" s="10"/>
      <c r="J34" s="10"/>
      <c r="K34" s="16"/>
      <c r="L34" s="73"/>
      <c r="N34" s="90">
        <v>40</v>
      </c>
      <c r="O34" s="5">
        <v>16</v>
      </c>
      <c r="P34" s="89" t="s">
        <v>13</v>
      </c>
    </row>
    <row r="35" spans="1:16" ht="18">
      <c r="N35" s="99">
        <v>2.1</v>
      </c>
      <c r="O35" s="98">
        <v>325</v>
      </c>
    </row>
    <row r="36" spans="1:16" ht="18">
      <c r="O36" s="98"/>
    </row>
  </sheetData>
  <mergeCells count="5">
    <mergeCell ref="N2:P2"/>
    <mergeCell ref="A1:B1"/>
    <mergeCell ref="C1:E1"/>
    <mergeCell ref="G1:H1"/>
    <mergeCell ref="I1:K1"/>
  </mergeCells>
  <dataValidations count="15">
    <dataValidation type="list" allowBlank="1" showInputMessage="1" showErrorMessage="1" sqref="B2">
      <formula1>"2440 2500 3100"</formula1>
    </dataValidation>
    <dataValidation type="list" allowBlank="1" showInputMessage="1" showErrorMessage="1" sqref="B3:B6 B19:B34">
      <formula1>"2150,2350,2440,2500,3100"</formula1>
    </dataValidation>
    <dataValidation type="list" allowBlank="1" showInputMessage="1" showErrorMessage="1" sqref="C3:C6 C19:C34">
      <formula1>"950,1000,1220,1530"</formula1>
    </dataValidation>
    <dataValidation type="list" allowBlank="1" showInputMessage="1" showErrorMessage="1" sqref="E3:E34">
      <formula1>"B/BB, BB/BB, BB/CC"</formula1>
    </dataValidation>
    <dataValidation type="list" allowBlank="1" showInputMessage="1" showErrorMessage="1" sqref="G3:G34">
      <formula1>"100% OKOUME"</formula1>
    </dataValidation>
    <dataValidation type="list" allowBlank="1" showInputMessage="1" showErrorMessage="1" sqref="H3:H34">
      <formula1>"PF,MUF,UF"</formula1>
    </dataValidation>
    <dataValidation type="list" allowBlank="1" showInputMessage="1" showErrorMessage="1" sqref="I3:I34">
      <formula1>"E1,E2,E0"</formula1>
    </dataValidation>
    <dataValidation type="list" allowBlank="1" showInputMessage="1" showErrorMessage="1" sqref="D7:D34">
      <formula1>$N$4:$N$19</formula1>
    </dataValidation>
    <dataValidation type="list" allowBlank="1" showInputMessage="1" showErrorMessage="1" sqref="F16:F18">
      <formula1>$O$4:$O$34</formula1>
    </dataValidation>
    <dataValidation type="list" allowBlank="1" showInputMessage="1" showErrorMessage="1" sqref="F19:F34">
      <formula1>#REF!</formula1>
    </dataValidation>
    <dataValidation type="list" allowBlank="1" showInputMessage="1" showErrorMessage="1" sqref="B7:B18">
      <formula1>"2150,2350,2440,2500,3100,3050"</formula1>
    </dataValidation>
    <dataValidation type="list" allowBlank="1" showInputMessage="1" showErrorMessage="1" sqref="C7:C18">
      <formula1>"950,1000,1220,1530,1300"</formula1>
    </dataValidation>
    <dataValidation type="list" allowBlank="1" showInputMessage="1" showErrorMessage="1" sqref="F7:F15">
      <formula1>$O$4:$O$36</formula1>
    </dataValidation>
    <dataValidation type="list" allowBlank="1" showInputMessage="1" showErrorMessage="1" sqref="D3:D6">
      <formula1>$N$4:$N$35</formula1>
    </dataValidation>
    <dataValidation type="list" allowBlank="1" showInputMessage="1" showErrorMessage="1" sqref="F3:F6">
      <formula1>$O$4:$O$35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U19"/>
  <sheetViews>
    <sheetView view="pageBreakPreview" zoomScale="60" zoomScaleNormal="80" workbookViewId="0">
      <selection activeCell="A14" sqref="A14:N14"/>
    </sheetView>
  </sheetViews>
  <sheetFormatPr defaultRowHeight="14.4"/>
  <cols>
    <col min="3" max="3" width="9.109375" customWidth="1"/>
    <col min="9" max="9" width="9.109375" customWidth="1"/>
    <col min="11" max="11" width="9.109375" customWidth="1"/>
    <col min="12" max="12" width="10" bestFit="1" customWidth="1"/>
    <col min="13" max="14" width="9.109375" customWidth="1"/>
    <col min="24" max="24" width="9.109375" style="87"/>
    <col min="26" max="26" width="10" bestFit="1" customWidth="1"/>
    <col min="40" max="40" width="10" bestFit="1" customWidth="1"/>
    <col min="54" max="54" width="10" bestFit="1" customWidth="1"/>
    <col min="68" max="68" width="10" bestFit="1" customWidth="1"/>
    <col min="82" max="82" width="10" bestFit="1" customWidth="1"/>
    <col min="96" max="96" width="10" bestFit="1" customWidth="1"/>
    <col min="110" max="110" width="10" bestFit="1" customWidth="1"/>
    <col min="124" max="124" width="10" bestFit="1" customWidth="1"/>
    <col min="130" max="130" width="9.109375" customWidth="1"/>
    <col min="132" max="132" width="9.109375" customWidth="1"/>
    <col min="138" max="138" width="10" bestFit="1" customWidth="1"/>
    <col min="140" max="140" width="9.109375" customWidth="1"/>
    <col min="142" max="142" width="9.109375" customWidth="1"/>
    <col min="148" max="148" width="9.109375" customWidth="1"/>
    <col min="150" max="150" width="9.109375" customWidth="1"/>
    <col min="152" max="152" width="9.109375" customWidth="1"/>
    <col min="160" max="160" width="9.109375" customWidth="1"/>
    <col min="162" max="162" width="9.109375" customWidth="1"/>
    <col min="165" max="165" width="9.109375" customWidth="1"/>
    <col min="166" max="166" width="10" bestFit="1" customWidth="1"/>
    <col min="180" max="180" width="10" bestFit="1" customWidth="1"/>
    <col min="194" max="194" width="10" bestFit="1" customWidth="1"/>
    <col min="205" max="205" width="7.33203125" customWidth="1"/>
    <col min="208" max="208" width="11.88671875" bestFit="1" customWidth="1"/>
    <col min="222" max="222" width="10" bestFit="1" customWidth="1"/>
    <col min="235" max="235" width="9.109375" customWidth="1"/>
    <col min="236" max="236" width="10" bestFit="1" customWidth="1"/>
    <col min="250" max="250" width="10" bestFit="1" customWidth="1"/>
    <col min="264" max="264" width="10" bestFit="1" customWidth="1"/>
    <col min="278" max="278" width="10" bestFit="1" customWidth="1"/>
    <col min="292" max="292" width="10" bestFit="1" customWidth="1"/>
    <col min="306" max="306" width="10" bestFit="1" customWidth="1"/>
    <col min="320" max="320" width="10" bestFit="1" customWidth="1"/>
    <col min="334" max="334" width="10" bestFit="1" customWidth="1"/>
    <col min="348" max="348" width="10" bestFit="1" customWidth="1"/>
    <col min="362" max="362" width="10" bestFit="1" customWidth="1"/>
    <col min="376" max="376" width="10" bestFit="1" customWidth="1"/>
    <col min="390" max="390" width="10" bestFit="1" customWidth="1"/>
    <col min="404" max="404" width="10" bestFit="1" customWidth="1"/>
    <col min="418" max="418" width="10" bestFit="1" customWidth="1"/>
    <col min="432" max="432" width="10" bestFit="1" customWidth="1"/>
    <col min="446" max="446" width="10" bestFit="1" customWidth="1"/>
  </cols>
  <sheetData>
    <row r="1" spans="1:463" ht="31.5" customHeight="1">
      <c r="A1" s="1" t="s">
        <v>67</v>
      </c>
      <c r="B1" s="1"/>
      <c r="C1" s="1"/>
      <c r="D1" s="1"/>
      <c r="E1" s="1" t="s">
        <v>5</v>
      </c>
      <c r="F1" s="1" t="s">
        <v>26</v>
      </c>
      <c r="G1" s="1"/>
      <c r="H1" s="1"/>
      <c r="I1" s="1"/>
      <c r="J1" s="1"/>
      <c r="K1" s="1"/>
      <c r="L1" s="1"/>
      <c r="M1" s="1"/>
      <c r="N1" s="1"/>
      <c r="O1" s="1" t="s">
        <v>67</v>
      </c>
      <c r="P1" s="1"/>
      <c r="Q1" s="1"/>
      <c r="R1" s="1"/>
      <c r="S1" s="1" t="s">
        <v>5</v>
      </c>
      <c r="T1" s="1" t="s">
        <v>26</v>
      </c>
      <c r="U1" s="1"/>
      <c r="V1" s="1"/>
      <c r="W1" s="1"/>
      <c r="X1" s="1"/>
      <c r="Y1" s="1"/>
      <c r="Z1" s="1"/>
      <c r="AA1" s="1"/>
      <c r="AB1" s="1"/>
      <c r="AC1" s="1" t="s">
        <v>67</v>
      </c>
      <c r="AD1" s="1"/>
      <c r="AE1" s="1"/>
      <c r="AF1" s="1"/>
      <c r="AG1" s="1" t="s">
        <v>5</v>
      </c>
      <c r="AH1" s="1" t="s">
        <v>26</v>
      </c>
      <c r="AI1" s="1"/>
      <c r="AJ1" s="1"/>
      <c r="AK1" s="1"/>
      <c r="AL1" s="1"/>
      <c r="AM1" s="1"/>
      <c r="AN1" s="1"/>
      <c r="AO1" s="1"/>
      <c r="AP1" s="1"/>
      <c r="AQ1" s="1" t="s">
        <v>67</v>
      </c>
      <c r="AR1" s="1"/>
      <c r="AS1" s="1"/>
      <c r="AT1" s="1"/>
      <c r="AU1" s="1" t="s">
        <v>5</v>
      </c>
      <c r="AV1" s="1" t="s">
        <v>26</v>
      </c>
      <c r="AW1" s="1"/>
      <c r="AX1" s="1"/>
      <c r="AY1" s="1"/>
      <c r="AZ1" s="1"/>
      <c r="BA1" s="1"/>
      <c r="BB1" s="1"/>
      <c r="BC1" s="1"/>
      <c r="BD1" s="1"/>
      <c r="BE1" s="1" t="s">
        <v>67</v>
      </c>
      <c r="BF1" s="1"/>
      <c r="BG1" s="1"/>
      <c r="BH1" s="1"/>
      <c r="BI1" s="1" t="s">
        <v>5</v>
      </c>
      <c r="BJ1" s="1" t="s">
        <v>26</v>
      </c>
      <c r="BK1" s="1"/>
      <c r="BL1" s="1"/>
      <c r="BM1" s="1"/>
      <c r="BN1" s="1"/>
      <c r="BO1" s="1"/>
      <c r="BP1" s="1"/>
      <c r="BQ1" s="1"/>
      <c r="BR1" s="1"/>
      <c r="BS1" s="1" t="s">
        <v>67</v>
      </c>
      <c r="BT1" s="1"/>
      <c r="BU1" s="1"/>
      <c r="BV1" s="1"/>
      <c r="BW1" s="1" t="s">
        <v>5</v>
      </c>
      <c r="BX1" s="1" t="s">
        <v>26</v>
      </c>
      <c r="BY1" s="1"/>
      <c r="BZ1" s="1"/>
      <c r="CA1" s="1"/>
      <c r="CB1" s="1"/>
      <c r="CC1" s="1"/>
      <c r="CD1" s="1"/>
      <c r="CE1" s="1"/>
      <c r="CF1" s="1"/>
      <c r="CG1" s="1" t="s">
        <v>67</v>
      </c>
      <c r="CH1" s="1"/>
      <c r="CI1" s="1"/>
      <c r="CJ1" s="1"/>
      <c r="CK1" s="1" t="s">
        <v>5</v>
      </c>
      <c r="CL1" s="1" t="s">
        <v>26</v>
      </c>
      <c r="CM1" s="1"/>
      <c r="CN1" s="1"/>
      <c r="CO1" s="1"/>
      <c r="CP1" s="1"/>
      <c r="CQ1" s="1"/>
      <c r="CR1" s="1"/>
      <c r="CS1" s="1"/>
      <c r="CT1" s="1"/>
      <c r="CU1" s="1" t="s">
        <v>67</v>
      </c>
      <c r="CV1" s="1"/>
      <c r="CW1" s="1"/>
      <c r="CX1" s="1"/>
      <c r="CY1" s="1" t="s">
        <v>5</v>
      </c>
      <c r="CZ1" s="1" t="s">
        <v>26</v>
      </c>
      <c r="DA1" s="1"/>
      <c r="DB1" s="1"/>
      <c r="DC1" s="1"/>
      <c r="DD1" s="1"/>
      <c r="DE1" s="1"/>
      <c r="DF1" s="1"/>
      <c r="DG1" s="1"/>
      <c r="DH1" s="1"/>
      <c r="DI1" s="1" t="s">
        <v>67</v>
      </c>
      <c r="DJ1" s="1"/>
      <c r="DK1" s="1"/>
      <c r="DL1" s="1"/>
      <c r="DM1" s="1" t="s">
        <v>5</v>
      </c>
      <c r="DN1" s="1" t="s">
        <v>26</v>
      </c>
      <c r="DO1" s="1"/>
      <c r="DP1" s="1"/>
      <c r="DQ1" s="1"/>
      <c r="DR1" s="1"/>
      <c r="DS1" s="1"/>
      <c r="DT1" s="1"/>
      <c r="DU1" s="1"/>
      <c r="DV1" s="1"/>
      <c r="DW1" s="1" t="s">
        <v>67</v>
      </c>
      <c r="DX1" s="1"/>
      <c r="DY1" s="1"/>
      <c r="DZ1" s="1"/>
      <c r="EA1" s="1" t="s">
        <v>5</v>
      </c>
      <c r="EB1" s="1" t="s">
        <v>26</v>
      </c>
      <c r="EC1" s="1"/>
      <c r="ED1" s="1"/>
      <c r="EE1" s="1"/>
      <c r="EF1" s="1"/>
      <c r="EG1" s="1"/>
      <c r="EH1" s="1"/>
      <c r="EI1" s="1"/>
      <c r="EJ1" s="1"/>
      <c r="EK1" s="1" t="s">
        <v>67</v>
      </c>
      <c r="EL1" s="1"/>
      <c r="EM1" s="1"/>
      <c r="EN1" s="1"/>
      <c r="EO1" s="1" t="s">
        <v>5</v>
      </c>
      <c r="EP1" s="1" t="s">
        <v>26</v>
      </c>
      <c r="EQ1" s="1"/>
      <c r="ER1" s="1"/>
      <c r="ES1" s="1"/>
      <c r="ET1" s="1"/>
      <c r="EU1" s="1"/>
      <c r="EV1" s="1"/>
      <c r="EW1" s="1"/>
      <c r="EX1" s="1"/>
      <c r="EY1" s="1" t="s">
        <v>67</v>
      </c>
      <c r="EZ1" s="1"/>
      <c r="FA1" s="1"/>
      <c r="FB1" s="1"/>
      <c r="FC1" s="1" t="s">
        <v>5</v>
      </c>
      <c r="FD1" s="1" t="s">
        <v>26</v>
      </c>
      <c r="FE1" s="1"/>
      <c r="FF1" s="1"/>
      <c r="FG1" s="1"/>
      <c r="FH1" s="1"/>
      <c r="FI1" s="1"/>
      <c r="FJ1" s="1"/>
      <c r="FK1" s="1"/>
      <c r="FL1" s="1"/>
      <c r="FM1" s="1" t="s">
        <v>67</v>
      </c>
      <c r="FN1" s="1"/>
      <c r="FO1" s="1"/>
      <c r="FP1" s="1"/>
      <c r="FQ1" s="1" t="s">
        <v>5</v>
      </c>
      <c r="FR1" s="1" t="s">
        <v>26</v>
      </c>
      <c r="FS1" s="1"/>
      <c r="FT1" s="1"/>
      <c r="FU1" s="1"/>
      <c r="FV1" s="1"/>
      <c r="FW1" s="1"/>
      <c r="FX1" s="1"/>
      <c r="FY1" s="1"/>
      <c r="FZ1" s="1"/>
      <c r="GA1" s="1" t="s">
        <v>67</v>
      </c>
      <c r="GB1" s="1"/>
      <c r="GC1" s="1"/>
      <c r="GD1" s="1"/>
      <c r="GE1" s="1" t="s">
        <v>5</v>
      </c>
      <c r="GF1" s="1" t="s">
        <v>26</v>
      </c>
      <c r="GG1" s="1"/>
      <c r="GH1" s="1"/>
      <c r="GI1" s="1"/>
      <c r="GJ1" s="1"/>
      <c r="GK1" s="1"/>
      <c r="GL1" s="1"/>
      <c r="GM1" s="1"/>
      <c r="GN1" s="1"/>
      <c r="GO1" s="1" t="s">
        <v>67</v>
      </c>
      <c r="GP1" s="1"/>
      <c r="GQ1" s="1"/>
      <c r="GR1" s="1"/>
      <c r="GS1" s="1" t="s">
        <v>5</v>
      </c>
      <c r="GT1" s="1" t="s">
        <v>26</v>
      </c>
      <c r="GU1" s="1"/>
      <c r="GV1" s="1"/>
      <c r="GW1" s="1"/>
      <c r="GX1" s="1"/>
      <c r="GY1" s="1"/>
      <c r="GZ1" s="1"/>
      <c r="HA1" s="1"/>
      <c r="HB1" s="1"/>
      <c r="HC1" s="1" t="s">
        <v>67</v>
      </c>
      <c r="HD1" s="1"/>
      <c r="HE1" s="1"/>
      <c r="HF1" s="1"/>
      <c r="HG1" s="1" t="s">
        <v>5</v>
      </c>
      <c r="HH1" s="1" t="s">
        <v>26</v>
      </c>
      <c r="HI1" s="1"/>
      <c r="HJ1" s="1"/>
      <c r="HK1" s="1"/>
      <c r="HL1" s="1"/>
      <c r="HM1" s="1"/>
      <c r="HN1" s="1"/>
      <c r="HO1" s="1"/>
      <c r="HP1" s="1"/>
      <c r="HQ1" s="1" t="s">
        <v>67</v>
      </c>
      <c r="HR1" s="1"/>
      <c r="HS1" s="1"/>
      <c r="HT1" s="1"/>
      <c r="HU1" s="1" t="s">
        <v>5</v>
      </c>
      <c r="HV1" s="1" t="s">
        <v>26</v>
      </c>
      <c r="HW1" s="1"/>
      <c r="HX1" s="1"/>
      <c r="HY1" s="1"/>
      <c r="HZ1" s="1"/>
      <c r="IA1" s="1"/>
      <c r="IB1" s="1"/>
      <c r="IC1" s="1"/>
      <c r="ID1" s="1"/>
      <c r="IE1" s="1" t="s">
        <v>67</v>
      </c>
      <c r="IF1" s="1"/>
      <c r="IG1" s="1"/>
      <c r="IH1" s="1"/>
      <c r="II1" s="1" t="s">
        <v>5</v>
      </c>
      <c r="IJ1" s="1" t="s">
        <v>26</v>
      </c>
      <c r="IK1" s="1"/>
      <c r="IL1" s="1"/>
      <c r="IM1" s="1"/>
      <c r="IN1" s="1"/>
      <c r="IO1" s="1"/>
      <c r="IP1" s="1"/>
      <c r="IQ1" s="1"/>
      <c r="IR1" s="1"/>
      <c r="IS1" s="1" t="s">
        <v>67</v>
      </c>
      <c r="IT1" s="1"/>
      <c r="IU1" s="1"/>
      <c r="IV1" s="1"/>
      <c r="IW1" s="1" t="s">
        <v>5</v>
      </c>
      <c r="IX1" s="1" t="s">
        <v>26</v>
      </c>
      <c r="IY1" s="1"/>
      <c r="IZ1" s="1"/>
      <c r="JA1" s="1"/>
      <c r="JB1" s="1"/>
      <c r="JC1" s="1"/>
      <c r="JD1" s="1"/>
      <c r="JE1" s="1"/>
      <c r="JF1" s="1"/>
      <c r="JG1" s="1" t="s">
        <v>67</v>
      </c>
      <c r="JH1" s="1"/>
      <c r="JI1" s="1"/>
      <c r="JJ1" s="1"/>
      <c r="JK1" s="1" t="s">
        <v>5</v>
      </c>
      <c r="JL1" s="1" t="s">
        <v>26</v>
      </c>
      <c r="JM1" s="1"/>
      <c r="JN1" s="1"/>
      <c r="JO1" s="1"/>
      <c r="JP1" s="1"/>
      <c r="JQ1" s="1"/>
      <c r="JR1" s="1"/>
      <c r="JS1" s="1"/>
      <c r="JT1" s="1"/>
      <c r="JU1" s="1" t="s">
        <v>67</v>
      </c>
      <c r="JV1" s="1"/>
      <c r="JW1" s="1"/>
      <c r="JX1" s="1"/>
      <c r="JY1" s="1" t="s">
        <v>5</v>
      </c>
      <c r="JZ1" s="1" t="s">
        <v>26</v>
      </c>
      <c r="KA1" s="1"/>
      <c r="KB1" s="1"/>
      <c r="KC1" s="1"/>
      <c r="KD1" s="1"/>
      <c r="KE1" s="1"/>
      <c r="KF1" s="1"/>
      <c r="KG1" s="1"/>
      <c r="KH1" s="1"/>
      <c r="KI1" s="1" t="s">
        <v>67</v>
      </c>
      <c r="KJ1" s="1"/>
      <c r="KK1" s="1"/>
      <c r="KL1" s="1"/>
      <c r="KM1" s="1" t="s">
        <v>5</v>
      </c>
      <c r="KN1" s="1" t="s">
        <v>26</v>
      </c>
      <c r="KO1" s="1"/>
      <c r="KP1" s="1"/>
      <c r="KQ1" s="1"/>
      <c r="KR1" s="1"/>
      <c r="KS1" s="1"/>
      <c r="KT1" s="1"/>
      <c r="KU1" s="1"/>
      <c r="KV1" s="1"/>
      <c r="KW1" s="1" t="s">
        <v>67</v>
      </c>
      <c r="KX1" s="1"/>
      <c r="KY1" s="1"/>
      <c r="KZ1" s="1"/>
      <c r="LA1" s="1" t="s">
        <v>5</v>
      </c>
      <c r="LB1" s="1" t="s">
        <v>26</v>
      </c>
      <c r="LC1" s="1"/>
      <c r="LD1" s="1"/>
      <c r="LE1" s="1"/>
      <c r="LF1" s="1"/>
      <c r="LG1" s="1"/>
      <c r="LH1" s="1"/>
      <c r="LI1" s="1"/>
      <c r="LJ1" s="1"/>
      <c r="LK1" s="1" t="s">
        <v>67</v>
      </c>
      <c r="LL1" s="1"/>
      <c r="LM1" s="1"/>
      <c r="LN1" s="1"/>
      <c r="LO1" s="1" t="s">
        <v>5</v>
      </c>
      <c r="LP1" s="1" t="s">
        <v>26</v>
      </c>
      <c r="LQ1" s="1"/>
      <c r="LR1" s="1"/>
      <c r="LS1" s="1"/>
      <c r="LT1" s="1"/>
      <c r="LU1" s="1"/>
      <c r="LV1" s="1"/>
      <c r="LW1" s="1"/>
      <c r="LX1" s="1"/>
      <c r="LY1" s="1" t="s">
        <v>67</v>
      </c>
      <c r="LZ1" s="1"/>
      <c r="MA1" s="1"/>
      <c r="MB1" s="1"/>
      <c r="MC1" s="1" t="s">
        <v>5</v>
      </c>
      <c r="MD1" s="1" t="s">
        <v>26</v>
      </c>
      <c r="ME1" s="1"/>
      <c r="MF1" s="1"/>
      <c r="MG1" s="1"/>
      <c r="MH1" s="1"/>
      <c r="MI1" s="1"/>
      <c r="MJ1" s="1"/>
      <c r="MK1" s="1"/>
      <c r="ML1" s="1"/>
      <c r="MM1" s="1" t="s">
        <v>67</v>
      </c>
      <c r="MN1" s="1"/>
      <c r="MO1" s="1"/>
      <c r="MP1" s="1"/>
      <c r="MQ1" s="1" t="s">
        <v>5</v>
      </c>
      <c r="MR1" s="1" t="s">
        <v>26</v>
      </c>
      <c r="MS1" s="1"/>
      <c r="MT1" s="1"/>
      <c r="MU1" s="1"/>
      <c r="MV1" s="1"/>
      <c r="MW1" s="1"/>
      <c r="MX1" s="1"/>
      <c r="MY1" s="1"/>
      <c r="MZ1" s="1"/>
      <c r="NA1" s="1" t="s">
        <v>67</v>
      </c>
      <c r="NB1" s="1"/>
      <c r="NC1" s="1"/>
      <c r="ND1" s="1"/>
      <c r="NE1" s="1" t="s">
        <v>5</v>
      </c>
      <c r="NF1" s="1" t="s">
        <v>26</v>
      </c>
      <c r="NG1" s="1"/>
      <c r="NH1" s="1"/>
      <c r="NI1" s="1"/>
      <c r="NJ1" s="1"/>
      <c r="NK1" s="1"/>
      <c r="NL1" s="1"/>
      <c r="NM1" s="1"/>
      <c r="NN1" s="1"/>
      <c r="NO1" s="1" t="s">
        <v>67</v>
      </c>
      <c r="NP1" s="1"/>
      <c r="NQ1" s="1"/>
      <c r="NR1" s="1"/>
      <c r="NS1" s="1" t="s">
        <v>5</v>
      </c>
      <c r="NT1" s="1" t="s">
        <v>26</v>
      </c>
      <c r="NU1" s="1"/>
      <c r="NV1" s="1"/>
      <c r="NW1" s="1"/>
      <c r="NX1" s="1"/>
      <c r="NY1" s="1"/>
      <c r="NZ1" s="1"/>
      <c r="OA1" s="1"/>
      <c r="OB1" s="1"/>
      <c r="OC1" s="1" t="s">
        <v>67</v>
      </c>
      <c r="OD1" s="1"/>
      <c r="OE1" s="1"/>
      <c r="OF1" s="1"/>
      <c r="OG1" s="1" t="s">
        <v>5</v>
      </c>
      <c r="OH1" s="1" t="s">
        <v>26</v>
      </c>
      <c r="OI1" s="1"/>
      <c r="OJ1" s="1"/>
      <c r="OK1" s="1"/>
      <c r="OL1" s="1"/>
      <c r="OM1" s="1"/>
      <c r="ON1" s="1"/>
      <c r="OO1" s="1"/>
      <c r="OP1" s="1"/>
      <c r="OQ1" s="1" t="s">
        <v>67</v>
      </c>
      <c r="OR1" s="1"/>
      <c r="OS1" s="1"/>
      <c r="OT1" s="1"/>
      <c r="OU1" s="1" t="s">
        <v>5</v>
      </c>
      <c r="OV1" s="1" t="s">
        <v>26</v>
      </c>
      <c r="OW1" s="1"/>
      <c r="OX1" s="1"/>
      <c r="OY1" s="1"/>
      <c r="OZ1" s="1"/>
      <c r="PA1" s="1"/>
      <c r="PB1" s="1"/>
      <c r="PC1" s="1"/>
      <c r="PD1" s="1"/>
      <c r="PE1" s="1" t="s">
        <v>67</v>
      </c>
      <c r="PF1" s="1"/>
      <c r="PG1" s="1"/>
      <c r="PH1" s="1"/>
      <c r="PI1" s="1" t="s">
        <v>5</v>
      </c>
      <c r="PJ1" s="1" t="s">
        <v>26</v>
      </c>
      <c r="PK1" s="1"/>
      <c r="PL1" s="1"/>
      <c r="PM1" s="1"/>
      <c r="PN1" s="1"/>
      <c r="PO1" s="1"/>
      <c r="PP1" s="1"/>
      <c r="PQ1" s="1"/>
      <c r="PR1" s="1"/>
      <c r="PS1" s="1" t="s">
        <v>67</v>
      </c>
      <c r="PT1" s="1"/>
      <c r="PU1" s="1"/>
      <c r="PV1" s="1"/>
      <c r="PW1" s="1" t="s">
        <v>5</v>
      </c>
      <c r="PX1" s="1" t="s">
        <v>26</v>
      </c>
      <c r="PY1" s="1"/>
      <c r="PZ1" s="1"/>
      <c r="QA1" s="1"/>
      <c r="QB1" s="1"/>
      <c r="QC1" s="1"/>
      <c r="QD1" s="1"/>
      <c r="QE1" s="1"/>
      <c r="QF1" s="1"/>
      <c r="QG1" s="78"/>
      <c r="QH1" s="78"/>
      <c r="QI1" s="78"/>
      <c r="QJ1" s="78"/>
      <c r="QK1" s="78"/>
      <c r="QL1" s="78"/>
      <c r="QM1" s="78"/>
      <c r="QN1" s="78"/>
      <c r="QO1" s="78"/>
      <c r="QP1" s="78"/>
      <c r="QQ1" s="78"/>
      <c r="QR1" s="78"/>
      <c r="QS1" s="78"/>
      <c r="QT1" s="78"/>
      <c r="QU1" s="78"/>
    </row>
    <row r="2" spans="1:463" ht="33" customHeight="1">
      <c r="A2" s="1" t="s">
        <v>68</v>
      </c>
      <c r="B2" s="1"/>
      <c r="C2" s="1"/>
      <c r="D2" s="1"/>
      <c r="E2" s="1" t="s">
        <v>5</v>
      </c>
      <c r="F2" s="1" t="s">
        <v>34</v>
      </c>
      <c r="G2" s="1"/>
      <c r="H2" s="1"/>
      <c r="I2" s="1"/>
      <c r="J2" s="1"/>
      <c r="K2" s="1"/>
      <c r="L2" s="1"/>
      <c r="M2" s="1"/>
      <c r="N2" s="1"/>
      <c r="O2" s="1" t="s">
        <v>68</v>
      </c>
      <c r="P2" s="1"/>
      <c r="Q2" s="1"/>
      <c r="R2" s="1"/>
      <c r="S2" s="1" t="s">
        <v>5</v>
      </c>
      <c r="T2" s="1" t="s">
        <v>34</v>
      </c>
      <c r="U2" s="1"/>
      <c r="V2" s="1"/>
      <c r="W2" s="1"/>
      <c r="X2" s="1"/>
      <c r="Y2" s="1"/>
      <c r="Z2" s="1"/>
      <c r="AA2" s="1"/>
      <c r="AB2" s="1"/>
      <c r="AC2" s="1" t="s">
        <v>68</v>
      </c>
      <c r="AD2" s="1"/>
      <c r="AE2" s="1"/>
      <c r="AF2" s="1"/>
      <c r="AG2" s="1" t="s">
        <v>5</v>
      </c>
      <c r="AH2" s="1" t="s">
        <v>34</v>
      </c>
      <c r="AI2" s="1"/>
      <c r="AJ2" s="1"/>
      <c r="AK2" s="1"/>
      <c r="AL2" s="1"/>
      <c r="AM2" s="1"/>
      <c r="AN2" s="1"/>
      <c r="AO2" s="1"/>
      <c r="AP2" s="1"/>
      <c r="AQ2" s="1" t="s">
        <v>68</v>
      </c>
      <c r="AR2" s="1"/>
      <c r="AS2" s="1"/>
      <c r="AT2" s="1"/>
      <c r="AU2" s="1" t="s">
        <v>5</v>
      </c>
      <c r="AV2" s="1" t="s">
        <v>34</v>
      </c>
      <c r="AW2" s="1"/>
      <c r="AX2" s="1"/>
      <c r="AY2" s="1"/>
      <c r="AZ2" s="1"/>
      <c r="BA2" s="1"/>
      <c r="BB2" s="1"/>
      <c r="BC2" s="1"/>
      <c r="BD2" s="1"/>
      <c r="BE2" s="1" t="s">
        <v>68</v>
      </c>
      <c r="BF2" s="1"/>
      <c r="BG2" s="1"/>
      <c r="BH2" s="1"/>
      <c r="BI2" s="1" t="s">
        <v>5</v>
      </c>
      <c r="BJ2" s="1" t="s">
        <v>34</v>
      </c>
      <c r="BK2" s="1"/>
      <c r="BL2" s="1"/>
      <c r="BM2" s="1"/>
      <c r="BN2" s="1"/>
      <c r="BO2" s="1"/>
      <c r="BP2" s="1"/>
      <c r="BQ2" s="1"/>
      <c r="BR2" s="1"/>
      <c r="BS2" s="1" t="s">
        <v>68</v>
      </c>
      <c r="BT2" s="1"/>
      <c r="BU2" s="1"/>
      <c r="BV2" s="1"/>
      <c r="BW2" s="1" t="s">
        <v>5</v>
      </c>
      <c r="BX2" s="1" t="s">
        <v>34</v>
      </c>
      <c r="BY2" s="1"/>
      <c r="BZ2" s="1"/>
      <c r="CA2" s="1"/>
      <c r="CB2" s="1"/>
      <c r="CC2" s="1"/>
      <c r="CD2" s="1"/>
      <c r="CE2" s="1"/>
      <c r="CF2" s="1"/>
      <c r="CG2" s="1" t="s">
        <v>68</v>
      </c>
      <c r="CH2" s="1"/>
      <c r="CI2" s="1"/>
      <c r="CJ2" s="1"/>
      <c r="CK2" s="1" t="s">
        <v>5</v>
      </c>
      <c r="CL2" s="1" t="s">
        <v>34</v>
      </c>
      <c r="CM2" s="1"/>
      <c r="CN2" s="1"/>
      <c r="CO2" s="1"/>
      <c r="CP2" s="1"/>
      <c r="CQ2" s="1"/>
      <c r="CR2" s="1"/>
      <c r="CS2" s="1"/>
      <c r="CT2" s="1"/>
      <c r="CU2" s="1" t="s">
        <v>68</v>
      </c>
      <c r="CV2" s="1"/>
      <c r="CW2" s="1"/>
      <c r="CX2" s="1"/>
      <c r="CY2" s="1" t="s">
        <v>5</v>
      </c>
      <c r="CZ2" s="1" t="s">
        <v>34</v>
      </c>
      <c r="DA2" s="1"/>
      <c r="DB2" s="1"/>
      <c r="DC2" s="1"/>
      <c r="DD2" s="1"/>
      <c r="DE2" s="1"/>
      <c r="DF2" s="1"/>
      <c r="DG2" s="1"/>
      <c r="DH2" s="1"/>
      <c r="DI2" s="1" t="s">
        <v>68</v>
      </c>
      <c r="DJ2" s="1"/>
      <c r="DK2" s="1"/>
      <c r="DL2" s="1"/>
      <c r="DM2" s="1" t="s">
        <v>5</v>
      </c>
      <c r="DN2" s="1" t="s">
        <v>34</v>
      </c>
      <c r="DO2" s="1"/>
      <c r="DP2" s="1"/>
      <c r="DQ2" s="1"/>
      <c r="DR2" s="1"/>
      <c r="DS2" s="1"/>
      <c r="DT2" s="1"/>
      <c r="DU2" s="1"/>
      <c r="DV2" s="1"/>
      <c r="DW2" s="1" t="s">
        <v>68</v>
      </c>
      <c r="DX2" s="1"/>
      <c r="DY2" s="1"/>
      <c r="DZ2" s="1"/>
      <c r="EA2" s="1" t="s">
        <v>5</v>
      </c>
      <c r="EB2" s="1" t="s">
        <v>34</v>
      </c>
      <c r="EC2" s="1"/>
      <c r="ED2" s="1"/>
      <c r="EE2" s="1"/>
      <c r="EF2" s="1"/>
      <c r="EG2" s="1"/>
      <c r="EH2" s="1"/>
      <c r="EI2" s="1"/>
      <c r="EJ2" s="1"/>
      <c r="EK2" s="1" t="s">
        <v>68</v>
      </c>
      <c r="EL2" s="1"/>
      <c r="EM2" s="1"/>
      <c r="EN2" s="1"/>
      <c r="EO2" s="1" t="s">
        <v>5</v>
      </c>
      <c r="EP2" s="1" t="s">
        <v>34</v>
      </c>
      <c r="EQ2" s="1"/>
      <c r="ER2" s="1"/>
      <c r="ES2" s="1"/>
      <c r="ET2" s="1"/>
      <c r="EU2" s="1"/>
      <c r="EV2" s="1"/>
      <c r="EW2" s="1"/>
      <c r="EX2" s="1"/>
      <c r="EY2" s="1" t="s">
        <v>68</v>
      </c>
      <c r="EZ2" s="1"/>
      <c r="FA2" s="1"/>
      <c r="FB2" s="1"/>
      <c r="FC2" s="1" t="s">
        <v>5</v>
      </c>
      <c r="FD2" s="1" t="s">
        <v>34</v>
      </c>
      <c r="FE2" s="1"/>
      <c r="FF2" s="1"/>
      <c r="FG2" s="1"/>
      <c r="FH2" s="1"/>
      <c r="FI2" s="1"/>
      <c r="FJ2" s="1"/>
      <c r="FK2" s="1"/>
      <c r="FL2" s="1"/>
      <c r="FM2" s="1" t="s">
        <v>68</v>
      </c>
      <c r="FN2" s="1"/>
      <c r="FO2" s="1"/>
      <c r="FP2" s="1"/>
      <c r="FQ2" s="1" t="s">
        <v>5</v>
      </c>
      <c r="FR2" s="1" t="s">
        <v>34</v>
      </c>
      <c r="FS2" s="1"/>
      <c r="FT2" s="1"/>
      <c r="FU2" s="1"/>
      <c r="FV2" s="1"/>
      <c r="FW2" s="1"/>
      <c r="FX2" s="1"/>
      <c r="FY2" s="1"/>
      <c r="FZ2" s="1"/>
      <c r="GA2" s="1" t="s">
        <v>68</v>
      </c>
      <c r="GB2" s="1"/>
      <c r="GC2" s="1"/>
      <c r="GD2" s="1"/>
      <c r="GE2" s="1" t="s">
        <v>5</v>
      </c>
      <c r="GF2" s="1" t="s">
        <v>34</v>
      </c>
      <c r="GG2" s="1"/>
      <c r="GH2" s="1"/>
      <c r="GI2" s="1"/>
      <c r="GJ2" s="1"/>
      <c r="GK2" s="1"/>
      <c r="GL2" s="1"/>
      <c r="GM2" s="1"/>
      <c r="GN2" s="1"/>
      <c r="GO2" s="1" t="s">
        <v>68</v>
      </c>
      <c r="GP2" s="1"/>
      <c r="GQ2" s="1"/>
      <c r="GR2" s="1"/>
      <c r="GS2" s="1" t="s">
        <v>5</v>
      </c>
      <c r="GT2" s="1" t="s">
        <v>34</v>
      </c>
      <c r="GU2" s="1"/>
      <c r="GV2" s="1"/>
      <c r="GW2" s="1"/>
      <c r="GX2" s="1"/>
      <c r="GY2" s="1"/>
      <c r="GZ2" s="1"/>
      <c r="HA2" s="1"/>
      <c r="HB2" s="1"/>
      <c r="HC2" s="1" t="s">
        <v>68</v>
      </c>
      <c r="HD2" s="1"/>
      <c r="HE2" s="1"/>
      <c r="HF2" s="1"/>
      <c r="HG2" s="1" t="s">
        <v>5</v>
      </c>
      <c r="HH2" s="1" t="s">
        <v>34</v>
      </c>
      <c r="HI2" s="1"/>
      <c r="HJ2" s="1"/>
      <c r="HK2" s="1"/>
      <c r="HL2" s="1"/>
      <c r="HM2" s="1"/>
      <c r="HN2" s="1"/>
      <c r="HO2" s="1"/>
      <c r="HP2" s="1"/>
      <c r="HQ2" s="1" t="s">
        <v>68</v>
      </c>
      <c r="HR2" s="1"/>
      <c r="HS2" s="1"/>
      <c r="HT2" s="1"/>
      <c r="HU2" s="1" t="s">
        <v>5</v>
      </c>
      <c r="HV2" s="1" t="s">
        <v>34</v>
      </c>
      <c r="HW2" s="1"/>
      <c r="HX2" s="1"/>
      <c r="HY2" s="1"/>
      <c r="HZ2" s="1"/>
      <c r="IA2" s="1"/>
      <c r="IB2" s="1"/>
      <c r="IC2" s="1"/>
      <c r="ID2" s="1"/>
      <c r="IE2" s="1" t="s">
        <v>68</v>
      </c>
      <c r="IF2" s="1"/>
      <c r="IG2" s="1"/>
      <c r="IH2" s="1"/>
      <c r="II2" s="1" t="s">
        <v>5</v>
      </c>
      <c r="IJ2" s="1" t="s">
        <v>34</v>
      </c>
      <c r="IK2" s="1"/>
      <c r="IL2" s="1"/>
      <c r="IM2" s="1"/>
      <c r="IN2" s="1"/>
      <c r="IO2" s="1"/>
      <c r="IP2" s="1"/>
      <c r="IQ2" s="1"/>
      <c r="IR2" s="1"/>
      <c r="IS2" s="1" t="s">
        <v>68</v>
      </c>
      <c r="IT2" s="1"/>
      <c r="IU2" s="1"/>
      <c r="IV2" s="1"/>
      <c r="IW2" s="1" t="s">
        <v>5</v>
      </c>
      <c r="IX2" s="1" t="s">
        <v>34</v>
      </c>
      <c r="IY2" s="1"/>
      <c r="IZ2" s="1"/>
      <c r="JA2" s="1"/>
      <c r="JB2" s="1"/>
      <c r="JC2" s="1"/>
      <c r="JD2" s="1"/>
      <c r="JE2" s="1"/>
      <c r="JF2" s="1"/>
      <c r="JG2" s="1" t="s">
        <v>68</v>
      </c>
      <c r="JH2" s="1"/>
      <c r="JI2" s="1"/>
      <c r="JJ2" s="1"/>
      <c r="JK2" s="1" t="s">
        <v>5</v>
      </c>
      <c r="JL2" s="1" t="s">
        <v>34</v>
      </c>
      <c r="JM2" s="1"/>
      <c r="JN2" s="1"/>
      <c r="JO2" s="1"/>
      <c r="JP2" s="1"/>
      <c r="JQ2" s="1"/>
      <c r="JR2" s="1"/>
      <c r="JS2" s="1"/>
      <c r="JT2" s="1"/>
      <c r="JU2" s="1" t="s">
        <v>68</v>
      </c>
      <c r="JV2" s="1"/>
      <c r="JW2" s="1"/>
      <c r="JX2" s="1"/>
      <c r="JY2" s="1" t="s">
        <v>5</v>
      </c>
      <c r="JZ2" s="1" t="s">
        <v>34</v>
      </c>
      <c r="KA2" s="1"/>
      <c r="KB2" s="1"/>
      <c r="KC2" s="1"/>
      <c r="KD2" s="1"/>
      <c r="KE2" s="1"/>
      <c r="KF2" s="1"/>
      <c r="KG2" s="1"/>
      <c r="KH2" s="1"/>
      <c r="KI2" s="1" t="s">
        <v>68</v>
      </c>
      <c r="KJ2" s="1"/>
      <c r="KK2" s="1"/>
      <c r="KL2" s="1"/>
      <c r="KM2" s="1" t="s">
        <v>5</v>
      </c>
      <c r="KN2" s="1" t="s">
        <v>34</v>
      </c>
      <c r="KO2" s="1"/>
      <c r="KP2" s="1"/>
      <c r="KQ2" s="1"/>
      <c r="KR2" s="1"/>
      <c r="KS2" s="1"/>
      <c r="KT2" s="1"/>
      <c r="KU2" s="1"/>
      <c r="KV2" s="1"/>
      <c r="KW2" s="1" t="s">
        <v>68</v>
      </c>
      <c r="KX2" s="1"/>
      <c r="KY2" s="1"/>
      <c r="KZ2" s="1"/>
      <c r="LA2" s="1" t="s">
        <v>5</v>
      </c>
      <c r="LB2" s="1" t="s">
        <v>34</v>
      </c>
      <c r="LC2" s="1"/>
      <c r="LD2" s="1"/>
      <c r="LE2" s="1"/>
      <c r="LF2" s="1"/>
      <c r="LG2" s="1"/>
      <c r="LH2" s="1"/>
      <c r="LI2" s="1"/>
      <c r="LJ2" s="1"/>
      <c r="LK2" s="1" t="s">
        <v>68</v>
      </c>
      <c r="LL2" s="1"/>
      <c r="LM2" s="1"/>
      <c r="LN2" s="1"/>
      <c r="LO2" s="1" t="s">
        <v>5</v>
      </c>
      <c r="LP2" s="1" t="s">
        <v>34</v>
      </c>
      <c r="LQ2" s="1"/>
      <c r="LR2" s="1"/>
      <c r="LS2" s="1"/>
      <c r="LT2" s="1"/>
      <c r="LU2" s="1"/>
      <c r="LV2" s="1"/>
      <c r="LW2" s="1"/>
      <c r="LX2" s="1"/>
      <c r="LY2" s="1" t="s">
        <v>68</v>
      </c>
      <c r="LZ2" s="1"/>
      <c r="MA2" s="1"/>
      <c r="MB2" s="1"/>
      <c r="MC2" s="1" t="s">
        <v>5</v>
      </c>
      <c r="MD2" s="1" t="s">
        <v>34</v>
      </c>
      <c r="ME2" s="1"/>
      <c r="MF2" s="1"/>
      <c r="MG2" s="1"/>
      <c r="MH2" s="1"/>
      <c r="MI2" s="1"/>
      <c r="MJ2" s="1"/>
      <c r="MK2" s="1"/>
      <c r="ML2" s="1"/>
      <c r="MM2" s="1" t="s">
        <v>68</v>
      </c>
      <c r="MN2" s="1"/>
      <c r="MO2" s="1"/>
      <c r="MP2" s="1"/>
      <c r="MQ2" s="1" t="s">
        <v>5</v>
      </c>
      <c r="MR2" s="1" t="s">
        <v>34</v>
      </c>
      <c r="MS2" s="1"/>
      <c r="MT2" s="1"/>
      <c r="MU2" s="1"/>
      <c r="MV2" s="1"/>
      <c r="MW2" s="1"/>
      <c r="MX2" s="1"/>
      <c r="MY2" s="1"/>
      <c r="MZ2" s="1"/>
      <c r="NA2" s="1" t="s">
        <v>68</v>
      </c>
      <c r="NB2" s="1"/>
      <c r="NC2" s="1"/>
      <c r="ND2" s="1"/>
      <c r="NE2" s="1" t="s">
        <v>5</v>
      </c>
      <c r="NF2" s="1" t="s">
        <v>34</v>
      </c>
      <c r="NG2" s="1"/>
      <c r="NH2" s="1"/>
      <c r="NI2" s="1"/>
      <c r="NJ2" s="1"/>
      <c r="NK2" s="1"/>
      <c r="NL2" s="1"/>
      <c r="NM2" s="1"/>
      <c r="NN2" s="1"/>
      <c r="NO2" s="1" t="s">
        <v>68</v>
      </c>
      <c r="NP2" s="1"/>
      <c r="NQ2" s="1"/>
      <c r="NR2" s="1"/>
      <c r="NS2" s="1" t="s">
        <v>5</v>
      </c>
      <c r="NT2" s="1" t="s">
        <v>34</v>
      </c>
      <c r="NU2" s="1"/>
      <c r="NV2" s="1"/>
      <c r="NW2" s="1"/>
      <c r="NX2" s="1"/>
      <c r="NY2" s="1"/>
      <c r="NZ2" s="1"/>
      <c r="OA2" s="1"/>
      <c r="OB2" s="1"/>
      <c r="OC2" s="1" t="s">
        <v>68</v>
      </c>
      <c r="OD2" s="1"/>
      <c r="OE2" s="1"/>
      <c r="OF2" s="1"/>
      <c r="OG2" s="1" t="s">
        <v>5</v>
      </c>
      <c r="OH2" s="1" t="s">
        <v>34</v>
      </c>
      <c r="OI2" s="1"/>
      <c r="OJ2" s="1"/>
      <c r="OK2" s="1"/>
      <c r="OL2" s="1"/>
      <c r="OM2" s="1"/>
      <c r="ON2" s="1"/>
      <c r="OO2" s="1"/>
      <c r="OP2" s="1"/>
      <c r="OQ2" s="1" t="s">
        <v>68</v>
      </c>
      <c r="OR2" s="1"/>
      <c r="OS2" s="1"/>
      <c r="OT2" s="1"/>
      <c r="OU2" s="1" t="s">
        <v>5</v>
      </c>
      <c r="OV2" s="1" t="s">
        <v>34</v>
      </c>
      <c r="OW2" s="1"/>
      <c r="OX2" s="1"/>
      <c r="OY2" s="1"/>
      <c r="OZ2" s="1"/>
      <c r="PA2" s="1"/>
      <c r="PB2" s="1"/>
      <c r="PC2" s="1"/>
      <c r="PD2" s="1"/>
      <c r="PE2" s="1" t="s">
        <v>68</v>
      </c>
      <c r="PF2" s="1"/>
      <c r="PG2" s="1"/>
      <c r="PH2" s="1"/>
      <c r="PI2" s="1" t="s">
        <v>5</v>
      </c>
      <c r="PJ2" s="1" t="s">
        <v>34</v>
      </c>
      <c r="PK2" s="1"/>
      <c r="PL2" s="1"/>
      <c r="PM2" s="1"/>
      <c r="PN2" s="1"/>
      <c r="PO2" s="1"/>
      <c r="PP2" s="1"/>
      <c r="PQ2" s="1"/>
      <c r="PR2" s="1"/>
      <c r="PS2" s="1" t="s">
        <v>68</v>
      </c>
      <c r="PT2" s="1"/>
      <c r="PU2" s="1"/>
      <c r="PV2" s="1"/>
      <c r="PW2" s="1" t="s">
        <v>5</v>
      </c>
      <c r="PX2" s="1" t="s">
        <v>34</v>
      </c>
      <c r="PY2" s="1"/>
      <c r="PZ2" s="1"/>
      <c r="QA2" s="1"/>
      <c r="QB2" s="1"/>
      <c r="QC2" s="1"/>
      <c r="QD2" s="1"/>
      <c r="QE2" s="1"/>
      <c r="QF2" s="1"/>
      <c r="QG2" s="78"/>
      <c r="QH2" s="78"/>
      <c r="QI2" s="78"/>
      <c r="QJ2" s="78"/>
      <c r="QK2" s="78"/>
      <c r="QL2" s="78"/>
      <c r="QM2" s="78"/>
      <c r="QN2" s="78"/>
      <c r="QO2" s="78"/>
      <c r="QP2" s="78"/>
      <c r="QQ2" s="78"/>
      <c r="QR2" s="78"/>
      <c r="QS2" s="78"/>
      <c r="QT2" s="78"/>
      <c r="QU2" s="78"/>
    </row>
    <row r="3" spans="1:463" ht="36.6">
      <c r="A3" s="1" t="s">
        <v>69</v>
      </c>
      <c r="B3" s="1"/>
      <c r="C3" s="1"/>
      <c r="D3" s="1"/>
      <c r="E3" s="1" t="s">
        <v>5</v>
      </c>
      <c r="F3" s="1" t="str">
        <f>+Main!I1</f>
        <v>ITALY</v>
      </c>
      <c r="G3" s="1"/>
      <c r="H3" s="1"/>
      <c r="I3" s="1"/>
      <c r="J3" s="1"/>
      <c r="K3" s="1"/>
      <c r="L3" s="1"/>
      <c r="M3" s="1"/>
      <c r="N3" s="1"/>
      <c r="O3" s="1" t="s">
        <v>69</v>
      </c>
      <c r="P3" s="1"/>
      <c r="Q3" s="1"/>
      <c r="R3" s="1"/>
      <c r="S3" s="1" t="s">
        <v>5</v>
      </c>
      <c r="T3" s="1" t="str">
        <f>+Main!I1</f>
        <v>ITALY</v>
      </c>
      <c r="U3" s="1"/>
      <c r="V3" s="1"/>
      <c r="W3" s="1"/>
      <c r="X3" s="1"/>
      <c r="Y3" s="1"/>
      <c r="Z3" s="1"/>
      <c r="AA3" s="1"/>
      <c r="AB3" s="1"/>
      <c r="AC3" s="1" t="s">
        <v>69</v>
      </c>
      <c r="AD3" s="1"/>
      <c r="AE3" s="1"/>
      <c r="AF3" s="1"/>
      <c r="AG3" s="1" t="s">
        <v>5</v>
      </c>
      <c r="AH3" s="1" t="str">
        <f>+Main!I1</f>
        <v>ITALY</v>
      </c>
      <c r="AI3" s="1"/>
      <c r="AJ3" s="1"/>
      <c r="AK3" s="1"/>
      <c r="AL3" s="1"/>
      <c r="AM3" s="1"/>
      <c r="AN3" s="1"/>
      <c r="AO3" s="1"/>
      <c r="AP3" s="1"/>
      <c r="AQ3" s="1" t="s">
        <v>69</v>
      </c>
      <c r="AR3" s="1"/>
      <c r="AS3" s="1"/>
      <c r="AT3" s="1"/>
      <c r="AU3" s="1" t="s">
        <v>5</v>
      </c>
      <c r="AV3" s="1" t="str">
        <f>+Main!I1</f>
        <v>ITALY</v>
      </c>
      <c r="AW3" s="1"/>
      <c r="AX3" s="1"/>
      <c r="AY3" s="1"/>
      <c r="AZ3" s="1"/>
      <c r="BA3" s="1"/>
      <c r="BB3" s="1"/>
      <c r="BC3" s="1"/>
      <c r="BD3" s="1"/>
      <c r="BE3" s="1" t="s">
        <v>69</v>
      </c>
      <c r="BF3" s="1"/>
      <c r="BG3" s="1"/>
      <c r="BH3" s="1"/>
      <c r="BI3" s="1" t="s">
        <v>5</v>
      </c>
      <c r="BJ3" s="1" t="str">
        <f>+Main!I1</f>
        <v>ITALY</v>
      </c>
      <c r="BK3" s="1"/>
      <c r="BL3" s="1"/>
      <c r="BM3" s="1"/>
      <c r="BN3" s="1"/>
      <c r="BO3" s="1"/>
      <c r="BP3" s="1"/>
      <c r="BQ3" s="1"/>
      <c r="BR3" s="1"/>
      <c r="BS3" s="1" t="s">
        <v>69</v>
      </c>
      <c r="BT3" s="1"/>
      <c r="BU3" s="1"/>
      <c r="BV3" s="1"/>
      <c r="BW3" s="1" t="s">
        <v>5</v>
      </c>
      <c r="BX3" s="1" t="str">
        <f>+Main!I1</f>
        <v>ITALY</v>
      </c>
      <c r="BY3" s="1"/>
      <c r="BZ3" s="1"/>
      <c r="CA3" s="1"/>
      <c r="CB3" s="1"/>
      <c r="CC3" s="1"/>
      <c r="CD3" s="1"/>
      <c r="CE3" s="1"/>
      <c r="CF3" s="1"/>
      <c r="CG3" s="1" t="s">
        <v>69</v>
      </c>
      <c r="CH3" s="1"/>
      <c r="CI3" s="1"/>
      <c r="CJ3" s="1"/>
      <c r="CK3" s="1" t="s">
        <v>5</v>
      </c>
      <c r="CL3" s="1" t="str">
        <f>+Main!I1</f>
        <v>ITALY</v>
      </c>
      <c r="CM3" s="1"/>
      <c r="CN3" s="1"/>
      <c r="CO3" s="1"/>
      <c r="CP3" s="1"/>
      <c r="CQ3" s="1"/>
      <c r="CR3" s="1"/>
      <c r="CS3" s="1"/>
      <c r="CT3" s="1"/>
      <c r="CU3" s="1" t="s">
        <v>69</v>
      </c>
      <c r="CV3" s="1"/>
      <c r="CW3" s="1"/>
      <c r="CX3" s="1"/>
      <c r="CY3" s="1" t="s">
        <v>5</v>
      </c>
      <c r="CZ3" s="1" t="str">
        <f>+Main!I1</f>
        <v>ITALY</v>
      </c>
      <c r="DA3" s="1"/>
      <c r="DB3" s="1"/>
      <c r="DC3" s="1"/>
      <c r="DD3" s="1"/>
      <c r="DE3" s="1"/>
      <c r="DF3" s="1"/>
      <c r="DG3" s="1"/>
      <c r="DH3" s="1"/>
      <c r="DI3" s="1" t="s">
        <v>69</v>
      </c>
      <c r="DJ3" s="1"/>
      <c r="DK3" s="1"/>
      <c r="DL3" s="1"/>
      <c r="DM3" s="1" t="s">
        <v>5</v>
      </c>
      <c r="DN3" s="1" t="str">
        <f>+Main!I1</f>
        <v>ITALY</v>
      </c>
      <c r="DO3" s="1"/>
      <c r="DP3" s="1"/>
      <c r="DQ3" s="1"/>
      <c r="DR3" s="1"/>
      <c r="DS3" s="1"/>
      <c r="DT3" s="1"/>
      <c r="DU3" s="1"/>
      <c r="DV3" s="1"/>
      <c r="DW3" s="1" t="s">
        <v>69</v>
      </c>
      <c r="DX3" s="1"/>
      <c r="DY3" s="1"/>
      <c r="DZ3" s="1"/>
      <c r="EA3" s="1" t="s">
        <v>5</v>
      </c>
      <c r="EB3" s="1" t="str">
        <f>+Main!I1</f>
        <v>ITALY</v>
      </c>
      <c r="EC3" s="1"/>
      <c r="ED3" s="1"/>
      <c r="EE3" s="1"/>
      <c r="EF3" s="1"/>
      <c r="EG3" s="1"/>
      <c r="EH3" s="1"/>
      <c r="EI3" s="1"/>
      <c r="EJ3" s="1"/>
      <c r="EK3" s="1" t="s">
        <v>69</v>
      </c>
      <c r="EL3" s="1"/>
      <c r="EM3" s="1"/>
      <c r="EN3" s="1"/>
      <c r="EO3" s="1" t="s">
        <v>5</v>
      </c>
      <c r="EP3" s="1" t="str">
        <f>+Main!I1</f>
        <v>ITALY</v>
      </c>
      <c r="EQ3" s="1"/>
      <c r="ER3" s="1"/>
      <c r="ES3" s="1"/>
      <c r="ET3" s="1"/>
      <c r="EU3" s="1"/>
      <c r="EV3" s="1"/>
      <c r="EW3" s="1"/>
      <c r="EX3" s="1"/>
      <c r="EY3" s="1" t="s">
        <v>69</v>
      </c>
      <c r="EZ3" s="1"/>
      <c r="FA3" s="1"/>
      <c r="FB3" s="1"/>
      <c r="FC3" s="1" t="s">
        <v>5</v>
      </c>
      <c r="FD3" s="1" t="str">
        <f>+Main!I1</f>
        <v>ITALY</v>
      </c>
      <c r="FE3" s="1"/>
      <c r="FF3" s="1"/>
      <c r="FG3" s="1"/>
      <c r="FH3" s="1"/>
      <c r="FI3" s="1"/>
      <c r="FJ3" s="1"/>
      <c r="FK3" s="1"/>
      <c r="FL3" s="1"/>
      <c r="FM3" s="1" t="s">
        <v>69</v>
      </c>
      <c r="FN3" s="1"/>
      <c r="FO3" s="1"/>
      <c r="FP3" s="1"/>
      <c r="FQ3" s="1" t="s">
        <v>5</v>
      </c>
      <c r="FR3" s="1" t="str">
        <f>+Main!I1</f>
        <v>ITALY</v>
      </c>
      <c r="FS3" s="1"/>
      <c r="FT3" s="1"/>
      <c r="FU3" s="1"/>
      <c r="FV3" s="1"/>
      <c r="FW3" s="1"/>
      <c r="FX3" s="1"/>
      <c r="FY3" s="1"/>
      <c r="FZ3" s="1"/>
      <c r="GA3" s="1" t="s">
        <v>69</v>
      </c>
      <c r="GB3" s="1"/>
      <c r="GC3" s="1"/>
      <c r="GD3" s="1"/>
      <c r="GE3" s="1" t="s">
        <v>5</v>
      </c>
      <c r="GF3" s="1" t="str">
        <f>+Main!I1</f>
        <v>ITALY</v>
      </c>
      <c r="GG3" s="1"/>
      <c r="GH3" s="1"/>
      <c r="GI3" s="1"/>
      <c r="GJ3" s="1"/>
      <c r="GK3" s="1"/>
      <c r="GL3" s="1"/>
      <c r="GM3" s="1"/>
      <c r="GN3" s="1"/>
      <c r="GO3" s="1" t="s">
        <v>69</v>
      </c>
      <c r="GP3" s="1"/>
      <c r="GQ3" s="1"/>
      <c r="GR3" s="1"/>
      <c r="GS3" s="1" t="s">
        <v>5</v>
      </c>
      <c r="GT3" s="1" t="str">
        <f>+Main!I1</f>
        <v>ITALY</v>
      </c>
      <c r="GU3" s="1"/>
      <c r="GV3" s="1"/>
      <c r="GW3" s="1"/>
      <c r="GX3" s="1"/>
      <c r="GY3" s="1"/>
      <c r="GZ3" s="1"/>
      <c r="HA3" s="1"/>
      <c r="HB3" s="1"/>
      <c r="HC3" s="1" t="s">
        <v>69</v>
      </c>
      <c r="HD3" s="1"/>
      <c r="HE3" s="1"/>
      <c r="HF3" s="1"/>
      <c r="HG3" s="1" t="s">
        <v>5</v>
      </c>
      <c r="HH3" s="1" t="str">
        <f>+Main!I1</f>
        <v>ITALY</v>
      </c>
      <c r="HI3" s="1"/>
      <c r="HJ3" s="1"/>
      <c r="HK3" s="1"/>
      <c r="HL3" s="1"/>
      <c r="HM3" s="1"/>
      <c r="HN3" s="1"/>
      <c r="HO3" s="1"/>
      <c r="HP3" s="1"/>
      <c r="HQ3" s="1" t="s">
        <v>69</v>
      </c>
      <c r="HR3" s="1"/>
      <c r="HS3" s="1"/>
      <c r="HT3" s="1"/>
      <c r="HU3" s="1" t="s">
        <v>5</v>
      </c>
      <c r="HV3" s="1" t="str">
        <f>+Main!I1</f>
        <v>ITALY</v>
      </c>
      <c r="HW3" s="1"/>
      <c r="HX3" s="1"/>
      <c r="HY3" s="1"/>
      <c r="HZ3" s="1"/>
      <c r="IA3" s="1"/>
      <c r="IB3" s="1"/>
      <c r="IC3" s="1"/>
      <c r="ID3" s="1"/>
      <c r="IE3" s="1" t="s">
        <v>69</v>
      </c>
      <c r="IF3" s="1"/>
      <c r="IG3" s="1"/>
      <c r="IH3" s="1"/>
      <c r="II3" s="1" t="s">
        <v>5</v>
      </c>
      <c r="IJ3" s="1" t="str">
        <f>+Main!I1</f>
        <v>ITALY</v>
      </c>
      <c r="IK3" s="1"/>
      <c r="IL3" s="1"/>
      <c r="IM3" s="1"/>
      <c r="IN3" s="1"/>
      <c r="IO3" s="1"/>
      <c r="IP3" s="1"/>
      <c r="IQ3" s="1"/>
      <c r="IR3" s="1"/>
      <c r="IS3" s="1" t="s">
        <v>69</v>
      </c>
      <c r="IT3" s="1"/>
      <c r="IU3" s="1"/>
      <c r="IV3" s="1"/>
      <c r="IW3" s="1" t="s">
        <v>5</v>
      </c>
      <c r="IX3" s="1" t="str">
        <f>+Main!I1</f>
        <v>ITALY</v>
      </c>
      <c r="IY3" s="1"/>
      <c r="IZ3" s="1"/>
      <c r="JA3" s="1"/>
      <c r="JB3" s="1"/>
      <c r="JC3" s="1"/>
      <c r="JD3" s="1"/>
      <c r="JE3" s="1"/>
      <c r="JF3" s="1"/>
      <c r="JG3" s="1" t="s">
        <v>69</v>
      </c>
      <c r="JH3" s="1"/>
      <c r="JI3" s="1"/>
      <c r="JJ3" s="1"/>
      <c r="JK3" s="1" t="s">
        <v>5</v>
      </c>
      <c r="JL3" s="1" t="str">
        <f>+Main!I1</f>
        <v>ITALY</v>
      </c>
      <c r="JM3" s="1"/>
      <c r="JN3" s="1"/>
      <c r="JO3" s="1"/>
      <c r="JP3" s="1"/>
      <c r="JQ3" s="1"/>
      <c r="JR3" s="1"/>
      <c r="JS3" s="1"/>
      <c r="JT3" s="1"/>
      <c r="JU3" s="1" t="s">
        <v>69</v>
      </c>
      <c r="JV3" s="1"/>
      <c r="JW3" s="1"/>
      <c r="JX3" s="1"/>
      <c r="JY3" s="1" t="s">
        <v>5</v>
      </c>
      <c r="JZ3" s="1" t="str">
        <f>+Main!I1</f>
        <v>ITALY</v>
      </c>
      <c r="KA3" s="1"/>
      <c r="KB3" s="1"/>
      <c r="KC3" s="1"/>
      <c r="KD3" s="1"/>
      <c r="KE3" s="1"/>
      <c r="KF3" s="1"/>
      <c r="KG3" s="1"/>
      <c r="KH3" s="1"/>
      <c r="KI3" s="1" t="s">
        <v>69</v>
      </c>
      <c r="KJ3" s="1"/>
      <c r="KK3" s="1"/>
      <c r="KL3" s="1"/>
      <c r="KM3" s="1" t="s">
        <v>5</v>
      </c>
      <c r="KN3" s="1" t="str">
        <f>+Main!I1</f>
        <v>ITALY</v>
      </c>
      <c r="KO3" s="1"/>
      <c r="KP3" s="1"/>
      <c r="KQ3" s="1"/>
      <c r="KR3" s="1"/>
      <c r="KS3" s="1"/>
      <c r="KT3" s="1"/>
      <c r="KU3" s="1"/>
      <c r="KV3" s="1"/>
      <c r="KW3" s="1" t="s">
        <v>69</v>
      </c>
      <c r="KX3" s="1"/>
      <c r="KY3" s="1"/>
      <c r="KZ3" s="1"/>
      <c r="LA3" s="1" t="s">
        <v>5</v>
      </c>
      <c r="LB3" s="1" t="str">
        <f>+Main!I1</f>
        <v>ITALY</v>
      </c>
      <c r="LC3" s="1"/>
      <c r="LD3" s="1"/>
      <c r="LE3" s="1"/>
      <c r="LF3" s="1"/>
      <c r="LG3" s="1"/>
      <c r="LH3" s="1"/>
      <c r="LI3" s="1"/>
      <c r="LJ3" s="1"/>
      <c r="LK3" s="1" t="s">
        <v>69</v>
      </c>
      <c r="LL3" s="1"/>
      <c r="LM3" s="1"/>
      <c r="LN3" s="1"/>
      <c r="LO3" s="1" t="s">
        <v>5</v>
      </c>
      <c r="LP3" s="1" t="str">
        <f>+Main!I1</f>
        <v>ITALY</v>
      </c>
      <c r="LQ3" s="1"/>
      <c r="LR3" s="1"/>
      <c r="LS3" s="1"/>
      <c r="LT3" s="1"/>
      <c r="LU3" s="1"/>
      <c r="LV3" s="1"/>
      <c r="LW3" s="1"/>
      <c r="LX3" s="1"/>
      <c r="LY3" s="1" t="s">
        <v>69</v>
      </c>
      <c r="LZ3" s="1"/>
      <c r="MA3" s="1"/>
      <c r="MB3" s="1"/>
      <c r="MC3" s="1" t="s">
        <v>5</v>
      </c>
      <c r="MD3" s="1" t="str">
        <f>+Main!I1</f>
        <v>ITALY</v>
      </c>
      <c r="ME3" s="1"/>
      <c r="MF3" s="1"/>
      <c r="MG3" s="1"/>
      <c r="MH3" s="1"/>
      <c r="MI3" s="1"/>
      <c r="MJ3" s="1"/>
      <c r="MK3" s="1"/>
      <c r="ML3" s="1"/>
      <c r="MM3" s="1" t="s">
        <v>69</v>
      </c>
      <c r="MN3" s="1"/>
      <c r="MO3" s="1"/>
      <c r="MP3" s="1"/>
      <c r="MQ3" s="1" t="s">
        <v>5</v>
      </c>
      <c r="MR3" s="1" t="str">
        <f>+Main!I1</f>
        <v>ITALY</v>
      </c>
      <c r="MS3" s="1"/>
      <c r="MT3" s="1"/>
      <c r="MU3" s="1"/>
      <c r="MV3" s="1"/>
      <c r="MW3" s="1"/>
      <c r="MX3" s="1"/>
      <c r="MY3" s="1"/>
      <c r="MZ3" s="1"/>
      <c r="NA3" s="1" t="s">
        <v>69</v>
      </c>
      <c r="NB3" s="1"/>
      <c r="NC3" s="1"/>
      <c r="ND3" s="1"/>
      <c r="NE3" s="1" t="s">
        <v>5</v>
      </c>
      <c r="NF3" s="1" t="str">
        <f>+Main!I1</f>
        <v>ITALY</v>
      </c>
      <c r="NG3" s="1"/>
      <c r="NH3" s="1"/>
      <c r="NI3" s="1"/>
      <c r="NJ3" s="1"/>
      <c r="NK3" s="1"/>
      <c r="NL3" s="1"/>
      <c r="NM3" s="1"/>
      <c r="NN3" s="1"/>
      <c r="NO3" s="1" t="s">
        <v>69</v>
      </c>
      <c r="NP3" s="1"/>
      <c r="NQ3" s="1"/>
      <c r="NR3" s="1"/>
      <c r="NS3" s="1" t="s">
        <v>5</v>
      </c>
      <c r="NT3" s="1" t="str">
        <f>+Main!I1</f>
        <v>ITALY</v>
      </c>
      <c r="NU3" s="1"/>
      <c r="NV3" s="1"/>
      <c r="NW3" s="1"/>
      <c r="NX3" s="1"/>
      <c r="NY3" s="1"/>
      <c r="NZ3" s="1"/>
      <c r="OA3" s="1"/>
      <c r="OB3" s="1"/>
      <c r="OC3" s="1" t="s">
        <v>69</v>
      </c>
      <c r="OD3" s="1"/>
      <c r="OE3" s="1"/>
      <c r="OF3" s="1"/>
      <c r="OG3" s="1" t="s">
        <v>5</v>
      </c>
      <c r="OH3" s="1" t="str">
        <f>+Main!I1</f>
        <v>ITALY</v>
      </c>
      <c r="OI3" s="1"/>
      <c r="OJ3" s="1"/>
      <c r="OK3" s="1"/>
      <c r="OL3" s="1"/>
      <c r="OM3" s="1"/>
      <c r="ON3" s="1"/>
      <c r="OO3" s="1"/>
      <c r="OP3" s="1"/>
      <c r="OQ3" s="1" t="s">
        <v>69</v>
      </c>
      <c r="OR3" s="1"/>
      <c r="OS3" s="1"/>
      <c r="OT3" s="1"/>
      <c r="OU3" s="1" t="s">
        <v>5</v>
      </c>
      <c r="OV3" s="1" t="str">
        <f>+Main!I1</f>
        <v>ITALY</v>
      </c>
      <c r="OW3" s="1"/>
      <c r="OX3" s="1"/>
      <c r="OY3" s="1"/>
      <c r="OZ3" s="1"/>
      <c r="PA3" s="1"/>
      <c r="PB3" s="1"/>
      <c r="PC3" s="1"/>
      <c r="PD3" s="1"/>
      <c r="PE3" s="1" t="s">
        <v>69</v>
      </c>
      <c r="PF3" s="1"/>
      <c r="PG3" s="1"/>
      <c r="PH3" s="1"/>
      <c r="PI3" s="1" t="s">
        <v>5</v>
      </c>
      <c r="PJ3" s="1" t="str">
        <f>+Main!I1</f>
        <v>ITALY</v>
      </c>
      <c r="PK3" s="1"/>
      <c r="PL3" s="1"/>
      <c r="PM3" s="1"/>
      <c r="PN3" s="1"/>
      <c r="PO3" s="1"/>
      <c r="PP3" s="1"/>
      <c r="PQ3" s="1"/>
      <c r="PR3" s="1"/>
      <c r="PS3" s="1" t="s">
        <v>69</v>
      </c>
      <c r="PT3" s="1"/>
      <c r="PU3" s="1"/>
      <c r="PV3" s="1"/>
      <c r="PW3" s="1" t="s">
        <v>5</v>
      </c>
      <c r="PX3" s="1" t="str">
        <f>+Main!I1</f>
        <v>ITALY</v>
      </c>
      <c r="PY3" s="1"/>
      <c r="PZ3" s="1"/>
      <c r="QA3" s="1"/>
      <c r="QB3" s="1"/>
      <c r="QC3" s="1"/>
      <c r="QD3" s="1"/>
      <c r="QE3" s="1"/>
      <c r="QF3" s="1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</row>
    <row r="4" spans="1:463" ht="48" customHeight="1">
      <c r="A4" s="1" t="s">
        <v>65</v>
      </c>
      <c r="B4" s="1"/>
      <c r="C4" s="1"/>
      <c r="D4" s="1"/>
      <c r="E4" s="1"/>
      <c r="F4" s="76"/>
      <c r="G4" s="1"/>
      <c r="H4" s="1"/>
      <c r="I4" s="76" t="s">
        <v>5</v>
      </c>
      <c r="J4" s="84">
        <f>+Main!B3</f>
        <v>2500</v>
      </c>
      <c r="K4" s="83" t="s">
        <v>22</v>
      </c>
      <c r="L4" s="83">
        <f>+Main!C3</f>
        <v>1220</v>
      </c>
      <c r="M4" s="83" t="s">
        <v>22</v>
      </c>
      <c r="N4" s="83">
        <f>+Main!D3</f>
        <v>5</v>
      </c>
      <c r="O4" s="1" t="s">
        <v>65</v>
      </c>
      <c r="P4" s="1"/>
      <c r="Q4" s="1"/>
      <c r="R4" s="1"/>
      <c r="S4" s="1"/>
      <c r="T4" s="76"/>
      <c r="U4" s="1"/>
      <c r="V4" s="1"/>
      <c r="W4" s="76" t="s">
        <v>5</v>
      </c>
      <c r="X4" s="84">
        <f>+Main!B4</f>
        <v>2500</v>
      </c>
      <c r="Y4" s="83" t="s">
        <v>22</v>
      </c>
      <c r="Z4" s="83">
        <f>+Main!C4</f>
        <v>1220</v>
      </c>
      <c r="AA4" s="83" t="s">
        <v>22</v>
      </c>
      <c r="AB4" s="83">
        <f>+Main!D4</f>
        <v>10</v>
      </c>
      <c r="AC4" s="1" t="s">
        <v>65</v>
      </c>
      <c r="AD4" s="1"/>
      <c r="AE4" s="1"/>
      <c r="AF4" s="1"/>
      <c r="AG4" s="1"/>
      <c r="AH4" s="76"/>
      <c r="AI4" s="1"/>
      <c r="AJ4" s="1"/>
      <c r="AK4" s="76" t="s">
        <v>5</v>
      </c>
      <c r="AL4" s="84">
        <f>+Main!B5</f>
        <v>2500</v>
      </c>
      <c r="AM4" s="83" t="s">
        <v>22</v>
      </c>
      <c r="AN4" s="83">
        <f>+Main!C5</f>
        <v>1220</v>
      </c>
      <c r="AO4" s="83" t="s">
        <v>22</v>
      </c>
      <c r="AP4" s="83">
        <f>+Main!D5</f>
        <v>10</v>
      </c>
      <c r="AQ4" s="1" t="s">
        <v>65</v>
      </c>
      <c r="AR4" s="1"/>
      <c r="AS4" s="1"/>
      <c r="AT4" s="1"/>
      <c r="AU4" s="1"/>
      <c r="AV4" s="76"/>
      <c r="AW4" s="1"/>
      <c r="AX4" s="1"/>
      <c r="AY4" s="76" t="s">
        <v>5</v>
      </c>
      <c r="AZ4" s="84">
        <f>+Main!B6</f>
        <v>2500</v>
      </c>
      <c r="BA4" s="83" t="s">
        <v>22</v>
      </c>
      <c r="BB4" s="83">
        <f>+Main!C6</f>
        <v>1220</v>
      </c>
      <c r="BC4" s="83" t="s">
        <v>22</v>
      </c>
      <c r="BD4" s="83">
        <f>+Main!D6</f>
        <v>22</v>
      </c>
      <c r="BE4" s="1" t="s">
        <v>65</v>
      </c>
      <c r="BF4" s="1"/>
      <c r="BG4" s="1"/>
      <c r="BH4" s="1"/>
      <c r="BI4" s="1"/>
      <c r="BJ4" s="76"/>
      <c r="BK4" s="1"/>
      <c r="BL4" s="1"/>
      <c r="BM4" s="76" t="s">
        <v>5</v>
      </c>
      <c r="BN4" s="84">
        <f>+Main!B7</f>
        <v>3100</v>
      </c>
      <c r="BO4" s="83" t="s">
        <v>22</v>
      </c>
      <c r="BP4" s="83">
        <f>+Main!C7</f>
        <v>1530</v>
      </c>
      <c r="BQ4" s="83" t="s">
        <v>22</v>
      </c>
      <c r="BR4" s="83">
        <f>+Main!D7</f>
        <v>10</v>
      </c>
      <c r="BS4" s="1" t="s">
        <v>65</v>
      </c>
      <c r="BT4" s="1"/>
      <c r="BU4" s="1"/>
      <c r="BV4" s="1"/>
      <c r="BW4" s="1"/>
      <c r="BX4" s="76"/>
      <c r="BY4" s="1"/>
      <c r="BZ4" s="1"/>
      <c r="CA4" s="76" t="s">
        <v>5</v>
      </c>
      <c r="CB4" s="84">
        <f>+Main!B8</f>
        <v>3100</v>
      </c>
      <c r="CC4" s="83" t="s">
        <v>22</v>
      </c>
      <c r="CD4" s="83">
        <f>+Main!C8</f>
        <v>1530</v>
      </c>
      <c r="CE4" s="83" t="s">
        <v>22</v>
      </c>
      <c r="CF4" s="83">
        <f>+Main!D8</f>
        <v>10</v>
      </c>
      <c r="CG4" s="1" t="s">
        <v>65</v>
      </c>
      <c r="CH4" s="1"/>
      <c r="CI4" s="1"/>
      <c r="CJ4" s="1"/>
      <c r="CK4" s="1"/>
      <c r="CL4" s="76"/>
      <c r="CM4" s="1"/>
      <c r="CN4" s="1"/>
      <c r="CO4" s="76" t="s">
        <v>5</v>
      </c>
      <c r="CP4" s="84">
        <f>+Main!B9</f>
        <v>3100</v>
      </c>
      <c r="CQ4" s="83" t="s">
        <v>22</v>
      </c>
      <c r="CR4" s="83">
        <f>+Main!C9</f>
        <v>1530</v>
      </c>
      <c r="CS4" s="83" t="s">
        <v>22</v>
      </c>
      <c r="CT4" s="83">
        <f>+Main!D9</f>
        <v>10</v>
      </c>
      <c r="CU4" s="1" t="s">
        <v>65</v>
      </c>
      <c r="CV4" s="1"/>
      <c r="CW4" s="1"/>
      <c r="CX4" s="1"/>
      <c r="CY4" s="1"/>
      <c r="CZ4" s="76"/>
      <c r="DA4" s="1"/>
      <c r="DB4" s="1"/>
      <c r="DC4" s="76" t="s">
        <v>5</v>
      </c>
      <c r="DD4" s="84">
        <f>+Main!B10</f>
        <v>3100</v>
      </c>
      <c r="DE4" s="83" t="s">
        <v>22</v>
      </c>
      <c r="DF4" s="83">
        <f>+Main!C10</f>
        <v>1530</v>
      </c>
      <c r="DG4" s="83" t="s">
        <v>22</v>
      </c>
      <c r="DH4" s="83">
        <f>+Main!D10</f>
        <v>10</v>
      </c>
      <c r="DI4" s="1" t="s">
        <v>65</v>
      </c>
      <c r="DJ4" s="1"/>
      <c r="DK4" s="1"/>
      <c r="DL4" s="1"/>
      <c r="DM4" s="1"/>
      <c r="DN4" s="76"/>
      <c r="DO4" s="1"/>
      <c r="DP4" s="1"/>
      <c r="DQ4" s="76" t="s">
        <v>5</v>
      </c>
      <c r="DR4" s="84">
        <f>+Main!B11</f>
        <v>3100</v>
      </c>
      <c r="DS4" s="83" t="s">
        <v>22</v>
      </c>
      <c r="DT4" s="83">
        <f>+Main!C11</f>
        <v>1530</v>
      </c>
      <c r="DU4" s="83" t="s">
        <v>22</v>
      </c>
      <c r="DV4" s="83">
        <f>+Main!D11</f>
        <v>10</v>
      </c>
      <c r="DW4" s="1" t="s">
        <v>65</v>
      </c>
      <c r="DX4" s="1"/>
      <c r="DY4" s="1"/>
      <c r="DZ4" s="1"/>
      <c r="EA4" s="1"/>
      <c r="EB4" s="76"/>
      <c r="EC4" s="1"/>
      <c r="ED4" s="1"/>
      <c r="EE4" s="76" t="s">
        <v>5</v>
      </c>
      <c r="EF4" s="84">
        <f>+Main!B12</f>
        <v>3100</v>
      </c>
      <c r="EG4" s="83" t="s">
        <v>22</v>
      </c>
      <c r="EH4" s="83">
        <f>+Main!C12</f>
        <v>1530</v>
      </c>
      <c r="EI4" s="83" t="s">
        <v>22</v>
      </c>
      <c r="EJ4" s="83">
        <f>+Main!D12</f>
        <v>10</v>
      </c>
      <c r="EK4" s="1" t="s">
        <v>65</v>
      </c>
      <c r="EL4" s="1"/>
      <c r="EM4" s="1"/>
      <c r="EN4" s="1"/>
      <c r="EO4" s="1"/>
      <c r="EP4" s="76"/>
      <c r="EQ4" s="1"/>
      <c r="ER4" s="1"/>
      <c r="ES4" s="76" t="s">
        <v>5</v>
      </c>
      <c r="ET4" s="84">
        <f>+Main!B13</f>
        <v>3100</v>
      </c>
      <c r="EU4" s="83" t="s">
        <v>22</v>
      </c>
      <c r="EV4" s="83">
        <f>+Main!C13</f>
        <v>1530</v>
      </c>
      <c r="EW4" s="83" t="s">
        <v>22</v>
      </c>
      <c r="EX4" s="83">
        <f>+Main!D13</f>
        <v>10</v>
      </c>
      <c r="EY4" s="1" t="s">
        <v>65</v>
      </c>
      <c r="EZ4" s="1"/>
      <c r="FA4" s="1"/>
      <c r="FB4" s="1"/>
      <c r="FC4" s="1"/>
      <c r="FD4" s="76"/>
      <c r="FE4" s="1"/>
      <c r="FF4" s="1"/>
      <c r="FG4" s="76" t="s">
        <v>5</v>
      </c>
      <c r="FH4" s="84">
        <f>+Main!B14</f>
        <v>3100</v>
      </c>
      <c r="FI4" s="83" t="s">
        <v>22</v>
      </c>
      <c r="FJ4" s="83">
        <f>+Main!C14</f>
        <v>1530</v>
      </c>
      <c r="FK4" s="83" t="s">
        <v>22</v>
      </c>
      <c r="FL4" s="83">
        <f>+Main!D14</f>
        <v>20</v>
      </c>
      <c r="FM4" s="1" t="s">
        <v>65</v>
      </c>
      <c r="FN4" s="1"/>
      <c r="FO4" s="1"/>
      <c r="FP4" s="1"/>
      <c r="FQ4" s="1"/>
      <c r="FR4" s="76"/>
      <c r="FS4" s="1"/>
      <c r="FT4" s="1"/>
      <c r="FU4" s="76" t="s">
        <v>5</v>
      </c>
      <c r="FV4" s="84">
        <f>+Main!B15</f>
        <v>3100</v>
      </c>
      <c r="FW4" s="83" t="s">
        <v>22</v>
      </c>
      <c r="FX4" s="83">
        <f>+Main!C15</f>
        <v>1530</v>
      </c>
      <c r="FY4" s="83" t="s">
        <v>22</v>
      </c>
      <c r="FZ4" s="83">
        <f>+Main!D15</f>
        <v>20</v>
      </c>
      <c r="GA4" s="1" t="s">
        <v>65</v>
      </c>
      <c r="GB4" s="1"/>
      <c r="GC4" s="1"/>
      <c r="GD4" s="1"/>
      <c r="GE4" s="1"/>
      <c r="GF4" s="76"/>
      <c r="GG4" s="1"/>
      <c r="GH4" s="1"/>
      <c r="GI4" s="76" t="s">
        <v>5</v>
      </c>
      <c r="GJ4" s="84">
        <f>+Main!B16</f>
        <v>3100</v>
      </c>
      <c r="GK4" s="83" t="s">
        <v>22</v>
      </c>
      <c r="GL4" s="83">
        <f>+Main!C16</f>
        <v>1530</v>
      </c>
      <c r="GM4" s="83" t="s">
        <v>22</v>
      </c>
      <c r="GN4" s="83">
        <f>+Main!D16</f>
        <v>20</v>
      </c>
      <c r="GO4" s="1" t="s">
        <v>65</v>
      </c>
      <c r="GP4" s="1"/>
      <c r="GQ4" s="1"/>
      <c r="GR4" s="1"/>
      <c r="GS4" s="1"/>
      <c r="GT4" s="76"/>
      <c r="GU4" s="1"/>
      <c r="GV4" s="1"/>
      <c r="GW4" s="76" t="s">
        <v>5</v>
      </c>
      <c r="GX4" s="84">
        <f>+Main!B17</f>
        <v>3100</v>
      </c>
      <c r="GY4" s="83" t="s">
        <v>22</v>
      </c>
      <c r="GZ4" s="83">
        <f>+Main!C17</f>
        <v>1530</v>
      </c>
      <c r="HA4" s="83" t="s">
        <v>22</v>
      </c>
      <c r="HB4" s="83">
        <f>+Main!D17</f>
        <v>22</v>
      </c>
      <c r="HC4" s="1" t="s">
        <v>65</v>
      </c>
      <c r="HD4" s="1"/>
      <c r="HE4" s="1"/>
      <c r="HF4" s="1"/>
      <c r="HG4" s="1"/>
      <c r="HH4" s="76"/>
      <c r="HI4" s="1"/>
      <c r="HJ4" s="1"/>
      <c r="HK4" s="76" t="s">
        <v>5</v>
      </c>
      <c r="HL4" s="84">
        <f>+Main!B18</f>
        <v>3100</v>
      </c>
      <c r="HM4" s="83" t="s">
        <v>22</v>
      </c>
      <c r="HN4" s="83">
        <f>+Main!C18</f>
        <v>1530</v>
      </c>
      <c r="HO4" s="83" t="s">
        <v>22</v>
      </c>
      <c r="HP4" s="83">
        <f>+Main!D18</f>
        <v>30</v>
      </c>
      <c r="HQ4" s="1" t="s">
        <v>65</v>
      </c>
      <c r="HR4" s="1"/>
      <c r="HS4" s="1"/>
      <c r="HT4" s="1"/>
      <c r="HU4" s="1"/>
      <c r="HV4" s="76"/>
      <c r="HW4" s="1"/>
      <c r="HX4" s="1"/>
      <c r="HY4" s="76" t="s">
        <v>5</v>
      </c>
      <c r="HZ4" s="84">
        <f>+Main!B19</f>
        <v>0</v>
      </c>
      <c r="IA4" s="83" t="s">
        <v>22</v>
      </c>
      <c r="IB4" s="83">
        <f>+Main!C19</f>
        <v>0</v>
      </c>
      <c r="IC4" s="83" t="s">
        <v>22</v>
      </c>
      <c r="ID4" s="83">
        <f>+Main!D19</f>
        <v>0</v>
      </c>
      <c r="IE4" s="1" t="s">
        <v>65</v>
      </c>
      <c r="IF4" s="1"/>
      <c r="IG4" s="1"/>
      <c r="IH4" s="1"/>
      <c r="II4" s="1"/>
      <c r="IJ4" s="76"/>
      <c r="IK4" s="1"/>
      <c r="IL4" s="1"/>
      <c r="IM4" s="76" t="s">
        <v>5</v>
      </c>
      <c r="IN4" s="84">
        <f>+Main!B20</f>
        <v>0</v>
      </c>
      <c r="IO4" s="83" t="s">
        <v>22</v>
      </c>
      <c r="IP4" s="83">
        <f>+Main!C20</f>
        <v>0</v>
      </c>
      <c r="IQ4" s="83" t="s">
        <v>22</v>
      </c>
      <c r="IR4" s="83">
        <f>+Main!D20</f>
        <v>0</v>
      </c>
      <c r="IS4" s="1" t="s">
        <v>65</v>
      </c>
      <c r="IT4" s="1"/>
      <c r="IU4" s="1"/>
      <c r="IV4" s="1"/>
      <c r="IW4" s="1"/>
      <c r="IX4" s="76"/>
      <c r="IY4" s="1"/>
      <c r="IZ4" s="1"/>
      <c r="JA4" s="76" t="s">
        <v>5</v>
      </c>
      <c r="JB4" s="84">
        <f>+Main!B21</f>
        <v>0</v>
      </c>
      <c r="JC4" s="83" t="s">
        <v>22</v>
      </c>
      <c r="JD4" s="83">
        <f>+Main!C21</f>
        <v>0</v>
      </c>
      <c r="JE4" s="83" t="s">
        <v>22</v>
      </c>
      <c r="JF4" s="83">
        <f>+Main!D21</f>
        <v>0</v>
      </c>
      <c r="JG4" s="1" t="s">
        <v>65</v>
      </c>
      <c r="JH4" s="1"/>
      <c r="JI4" s="1"/>
      <c r="JJ4" s="1"/>
      <c r="JK4" s="1"/>
      <c r="JL4" s="76"/>
      <c r="JM4" s="1"/>
      <c r="JN4" s="1"/>
      <c r="JO4" s="76" t="s">
        <v>5</v>
      </c>
      <c r="JP4" s="84">
        <f>+Main!B22</f>
        <v>0</v>
      </c>
      <c r="JQ4" s="83" t="s">
        <v>22</v>
      </c>
      <c r="JR4" s="83">
        <f>+Main!C22</f>
        <v>0</v>
      </c>
      <c r="JS4" s="83" t="s">
        <v>22</v>
      </c>
      <c r="JT4" s="83">
        <f>+Main!D22</f>
        <v>0</v>
      </c>
      <c r="JU4" s="1" t="s">
        <v>65</v>
      </c>
      <c r="JV4" s="1"/>
      <c r="JW4" s="1"/>
      <c r="JX4" s="1"/>
      <c r="JY4" s="1"/>
      <c r="JZ4" s="76"/>
      <c r="KA4" s="1"/>
      <c r="KB4" s="1"/>
      <c r="KC4" s="76" t="s">
        <v>5</v>
      </c>
      <c r="KD4" s="84">
        <f>+Main!B23</f>
        <v>0</v>
      </c>
      <c r="KE4" s="83" t="s">
        <v>22</v>
      </c>
      <c r="KF4" s="83">
        <f>+Main!C23</f>
        <v>0</v>
      </c>
      <c r="KG4" s="83" t="s">
        <v>22</v>
      </c>
      <c r="KH4" s="83">
        <f>+Main!D23</f>
        <v>0</v>
      </c>
      <c r="KI4" s="1" t="s">
        <v>65</v>
      </c>
      <c r="KJ4" s="1"/>
      <c r="KK4" s="1"/>
      <c r="KL4" s="1"/>
      <c r="KM4" s="1"/>
      <c r="KN4" s="76"/>
      <c r="KO4" s="1"/>
      <c r="KP4" s="1"/>
      <c r="KQ4" s="76" t="s">
        <v>5</v>
      </c>
      <c r="KR4" s="84">
        <f>+Main!B24</f>
        <v>0</v>
      </c>
      <c r="KS4" s="83" t="s">
        <v>22</v>
      </c>
      <c r="KT4" s="83">
        <f>+Main!C24</f>
        <v>0</v>
      </c>
      <c r="KU4" s="83" t="s">
        <v>22</v>
      </c>
      <c r="KV4" s="83">
        <f>+Main!D24</f>
        <v>0</v>
      </c>
      <c r="KW4" s="1" t="s">
        <v>65</v>
      </c>
      <c r="KX4" s="1"/>
      <c r="KY4" s="1"/>
      <c r="KZ4" s="1"/>
      <c r="LA4" s="1"/>
      <c r="LB4" s="76"/>
      <c r="LC4" s="1"/>
      <c r="LD4" s="1"/>
      <c r="LE4" s="76" t="s">
        <v>5</v>
      </c>
      <c r="LF4" s="84">
        <f>+Main!B25</f>
        <v>0</v>
      </c>
      <c r="LG4" s="83" t="s">
        <v>22</v>
      </c>
      <c r="LH4" s="83">
        <f>+Main!C25</f>
        <v>0</v>
      </c>
      <c r="LI4" s="83" t="s">
        <v>22</v>
      </c>
      <c r="LJ4" s="83">
        <f>+Main!D25</f>
        <v>0</v>
      </c>
      <c r="LK4" s="1" t="s">
        <v>65</v>
      </c>
      <c r="LL4" s="1"/>
      <c r="LM4" s="1"/>
      <c r="LN4" s="1"/>
      <c r="LO4" s="1"/>
      <c r="LP4" s="76"/>
      <c r="LQ4" s="1"/>
      <c r="LR4" s="1"/>
      <c r="LS4" s="76" t="s">
        <v>5</v>
      </c>
      <c r="LT4" s="84">
        <f>+Main!B26</f>
        <v>0</v>
      </c>
      <c r="LU4" s="83" t="s">
        <v>22</v>
      </c>
      <c r="LV4" s="83">
        <f>+Main!C26</f>
        <v>0</v>
      </c>
      <c r="LW4" s="83" t="s">
        <v>22</v>
      </c>
      <c r="LX4" s="83">
        <f>+Main!D26</f>
        <v>0</v>
      </c>
      <c r="LY4" s="1" t="s">
        <v>65</v>
      </c>
      <c r="LZ4" s="1"/>
      <c r="MA4" s="1"/>
      <c r="MB4" s="1"/>
      <c r="MC4" s="1"/>
      <c r="MD4" s="76"/>
      <c r="ME4" s="1"/>
      <c r="MF4" s="1"/>
      <c r="MG4" s="76" t="s">
        <v>5</v>
      </c>
      <c r="MH4" s="84">
        <f>+Main!B27</f>
        <v>0</v>
      </c>
      <c r="MI4" s="83" t="s">
        <v>22</v>
      </c>
      <c r="MJ4" s="83">
        <f>+Main!C27</f>
        <v>0</v>
      </c>
      <c r="MK4" s="83" t="s">
        <v>22</v>
      </c>
      <c r="ML4" s="83">
        <f>+Main!D27</f>
        <v>0</v>
      </c>
      <c r="MM4" s="1" t="s">
        <v>65</v>
      </c>
      <c r="MN4" s="1"/>
      <c r="MO4" s="1"/>
      <c r="MP4" s="1"/>
      <c r="MQ4" s="1"/>
      <c r="MR4" s="76"/>
      <c r="MS4" s="1"/>
      <c r="MT4" s="1"/>
      <c r="MU4" s="76" t="s">
        <v>5</v>
      </c>
      <c r="MV4" s="84">
        <f>+Main!B28</f>
        <v>0</v>
      </c>
      <c r="MW4" s="83" t="s">
        <v>22</v>
      </c>
      <c r="MX4" s="83">
        <f>+Main!C28</f>
        <v>0</v>
      </c>
      <c r="MY4" s="83" t="s">
        <v>22</v>
      </c>
      <c r="MZ4" s="83">
        <f>+Main!D28</f>
        <v>0</v>
      </c>
      <c r="NA4" s="1" t="s">
        <v>65</v>
      </c>
      <c r="NB4" s="1"/>
      <c r="NC4" s="1"/>
      <c r="ND4" s="1"/>
      <c r="NE4" s="1"/>
      <c r="NF4" s="76"/>
      <c r="NG4" s="1"/>
      <c r="NH4" s="1"/>
      <c r="NI4" s="76" t="s">
        <v>5</v>
      </c>
      <c r="NJ4" s="84">
        <f>+Main!B29</f>
        <v>0</v>
      </c>
      <c r="NK4" s="83" t="s">
        <v>22</v>
      </c>
      <c r="NL4" s="83">
        <f>+Main!C29</f>
        <v>0</v>
      </c>
      <c r="NM4" s="83" t="s">
        <v>22</v>
      </c>
      <c r="NN4" s="83">
        <f>+Main!D29</f>
        <v>0</v>
      </c>
      <c r="NO4" s="1" t="s">
        <v>65</v>
      </c>
      <c r="NP4" s="1"/>
      <c r="NQ4" s="1"/>
      <c r="NR4" s="1"/>
      <c r="NS4" s="1"/>
      <c r="NT4" s="76"/>
      <c r="NU4" s="1"/>
      <c r="NV4" s="1"/>
      <c r="NW4" s="76" t="s">
        <v>5</v>
      </c>
      <c r="NX4" s="84">
        <f>+Main!B30</f>
        <v>0</v>
      </c>
      <c r="NY4" s="83" t="s">
        <v>22</v>
      </c>
      <c r="NZ4" s="83">
        <f>+Main!C30</f>
        <v>0</v>
      </c>
      <c r="OA4" s="83" t="s">
        <v>22</v>
      </c>
      <c r="OB4" s="83">
        <f>+Main!D30</f>
        <v>0</v>
      </c>
      <c r="OC4" s="1" t="s">
        <v>65</v>
      </c>
      <c r="OD4" s="1"/>
      <c r="OE4" s="1"/>
      <c r="OF4" s="1"/>
      <c r="OG4" s="1"/>
      <c r="OH4" s="76"/>
      <c r="OI4" s="1"/>
      <c r="OJ4" s="1"/>
      <c r="OK4" s="76" t="s">
        <v>5</v>
      </c>
      <c r="OL4" s="84">
        <f>+Main!B31</f>
        <v>0</v>
      </c>
      <c r="OM4" s="83" t="s">
        <v>22</v>
      </c>
      <c r="ON4" s="83">
        <f>+Main!C31</f>
        <v>0</v>
      </c>
      <c r="OO4" s="83" t="s">
        <v>22</v>
      </c>
      <c r="OP4" s="83">
        <f>+Main!D31</f>
        <v>0</v>
      </c>
      <c r="OQ4" s="1" t="s">
        <v>65</v>
      </c>
      <c r="OR4" s="1"/>
      <c r="OS4" s="1"/>
      <c r="OT4" s="1"/>
      <c r="OU4" s="1"/>
      <c r="OV4" s="76"/>
      <c r="OW4" s="1"/>
      <c r="OX4" s="1"/>
      <c r="OY4" s="76" t="s">
        <v>5</v>
      </c>
      <c r="OZ4" s="84">
        <f>+Main!B32</f>
        <v>0</v>
      </c>
      <c r="PA4" s="83" t="s">
        <v>22</v>
      </c>
      <c r="PB4" s="83">
        <f>+Main!C32</f>
        <v>0</v>
      </c>
      <c r="PC4" s="83" t="s">
        <v>22</v>
      </c>
      <c r="PD4" s="83">
        <f>+Main!D32</f>
        <v>0</v>
      </c>
      <c r="PE4" s="1" t="s">
        <v>65</v>
      </c>
      <c r="PF4" s="1"/>
      <c r="PG4" s="1"/>
      <c r="PH4" s="1"/>
      <c r="PI4" s="1"/>
      <c r="PJ4" s="76"/>
      <c r="PK4" s="1"/>
      <c r="PL4" s="1"/>
      <c r="PM4" s="76" t="s">
        <v>5</v>
      </c>
      <c r="PN4" s="84">
        <f>+Main!B33</f>
        <v>0</v>
      </c>
      <c r="PO4" s="83" t="s">
        <v>22</v>
      </c>
      <c r="PP4" s="83">
        <f>+Main!C33</f>
        <v>0</v>
      </c>
      <c r="PQ4" s="83" t="s">
        <v>22</v>
      </c>
      <c r="PR4" s="83">
        <f>+Main!D33</f>
        <v>0</v>
      </c>
      <c r="PS4" s="1" t="s">
        <v>65</v>
      </c>
      <c r="PT4" s="1"/>
      <c r="PU4" s="1"/>
      <c r="PV4" s="1"/>
      <c r="PW4" s="1"/>
      <c r="PX4" s="76"/>
      <c r="PY4" s="1"/>
      <c r="PZ4" s="1"/>
      <c r="QA4" s="76" t="s">
        <v>5</v>
      </c>
      <c r="QB4" s="84">
        <f>+Main!B34</f>
        <v>0</v>
      </c>
      <c r="QC4" s="83" t="s">
        <v>22</v>
      </c>
      <c r="QD4" s="83">
        <f>+Main!C34</f>
        <v>0</v>
      </c>
      <c r="QE4" s="83" t="s">
        <v>22</v>
      </c>
      <c r="QF4" s="83">
        <f>+Main!D34</f>
        <v>0</v>
      </c>
      <c r="QG4" s="76"/>
      <c r="QH4" s="1"/>
      <c r="QI4" s="1"/>
      <c r="QJ4" s="1"/>
      <c r="QK4" s="1"/>
      <c r="QL4" s="1"/>
      <c r="QM4" s="1"/>
      <c r="QN4" s="1"/>
      <c r="QO4" s="1"/>
      <c r="QP4" s="1"/>
      <c r="QQ4" s="76"/>
      <c r="QR4" s="1"/>
      <c r="QS4" s="1"/>
      <c r="QT4" s="1"/>
      <c r="QU4" s="1"/>
    </row>
    <row r="5" spans="1:463" ht="36.6">
      <c r="A5" s="1" t="s">
        <v>48</v>
      </c>
      <c r="B5" s="1"/>
      <c r="C5" s="1"/>
      <c r="D5" s="1"/>
      <c r="E5" s="1"/>
      <c r="F5" s="76"/>
      <c r="G5" s="1"/>
      <c r="H5" s="1"/>
      <c r="I5" s="76" t="s">
        <v>5</v>
      </c>
      <c r="J5" s="82" t="str">
        <f>+Main!E3</f>
        <v>B/BB</v>
      </c>
      <c r="K5" s="82"/>
      <c r="L5" s="82"/>
      <c r="M5" s="82"/>
      <c r="N5" s="82"/>
      <c r="O5" s="1" t="s">
        <v>48</v>
      </c>
      <c r="P5" s="1"/>
      <c r="Q5" s="1"/>
      <c r="R5" s="1"/>
      <c r="S5" s="1"/>
      <c r="T5" s="76"/>
      <c r="U5" s="1"/>
      <c r="V5" s="1"/>
      <c r="W5" s="76" t="s">
        <v>5</v>
      </c>
      <c r="X5" s="84" t="str">
        <f>+Main!E4</f>
        <v>B/BB</v>
      </c>
      <c r="Y5" s="82"/>
      <c r="Z5" s="82"/>
      <c r="AA5" s="82"/>
      <c r="AB5" s="82"/>
      <c r="AC5" s="1" t="s">
        <v>48</v>
      </c>
      <c r="AD5" s="1"/>
      <c r="AE5" s="1"/>
      <c r="AF5" s="1"/>
      <c r="AG5" s="1"/>
      <c r="AH5" s="76"/>
      <c r="AI5" s="1"/>
      <c r="AJ5" s="1"/>
      <c r="AK5" s="76" t="s">
        <v>5</v>
      </c>
      <c r="AL5" s="84" t="str">
        <f>+Main!E5</f>
        <v>B/BB</v>
      </c>
      <c r="AM5" s="82"/>
      <c r="AN5" s="82"/>
      <c r="AO5" s="82"/>
      <c r="AP5" s="82"/>
      <c r="AQ5" s="1" t="s">
        <v>48</v>
      </c>
      <c r="AR5" s="1"/>
      <c r="AS5" s="1"/>
      <c r="AT5" s="1"/>
      <c r="AU5" s="1"/>
      <c r="AV5" s="76"/>
      <c r="AW5" s="1"/>
      <c r="AX5" s="1"/>
      <c r="AY5" s="76" t="s">
        <v>5</v>
      </c>
      <c r="AZ5" s="84" t="str">
        <f>+Main!E6</f>
        <v>B/BB</v>
      </c>
      <c r="BA5" s="82"/>
      <c r="BB5" s="82"/>
      <c r="BC5" s="82"/>
      <c r="BD5" s="82"/>
      <c r="BE5" s="1" t="s">
        <v>48</v>
      </c>
      <c r="BF5" s="1"/>
      <c r="BG5" s="1"/>
      <c r="BH5" s="1"/>
      <c r="BI5" s="1"/>
      <c r="BJ5" s="76"/>
      <c r="BK5" s="1"/>
      <c r="BL5" s="1"/>
      <c r="BM5" s="76" t="s">
        <v>5</v>
      </c>
      <c r="BN5" s="84" t="str">
        <f>+Main!E7</f>
        <v>B/BB</v>
      </c>
      <c r="BO5" s="82"/>
      <c r="BP5" s="82"/>
      <c r="BQ5" s="82"/>
      <c r="BR5" s="82"/>
      <c r="BS5" s="1" t="s">
        <v>48</v>
      </c>
      <c r="BT5" s="1"/>
      <c r="BU5" s="1"/>
      <c r="BV5" s="1"/>
      <c r="BW5" s="1"/>
      <c r="BX5" s="76"/>
      <c r="BY5" s="1"/>
      <c r="BZ5" s="1"/>
      <c r="CA5" s="76" t="s">
        <v>5</v>
      </c>
      <c r="CB5" s="84" t="str">
        <f>+Main!E8</f>
        <v>B/BB</v>
      </c>
      <c r="CC5" s="82"/>
      <c r="CD5" s="82"/>
      <c r="CE5" s="82"/>
      <c r="CF5" s="82"/>
      <c r="CG5" s="1" t="s">
        <v>48</v>
      </c>
      <c r="CH5" s="1"/>
      <c r="CI5" s="1"/>
      <c r="CJ5" s="1"/>
      <c r="CK5" s="1"/>
      <c r="CL5" s="76"/>
      <c r="CM5" s="1"/>
      <c r="CN5" s="1"/>
      <c r="CO5" s="76" t="s">
        <v>5</v>
      </c>
      <c r="CP5" s="84" t="str">
        <f>+Main!E9</f>
        <v>B/BB</v>
      </c>
      <c r="CQ5" s="82"/>
      <c r="CR5" s="82"/>
      <c r="CS5" s="82"/>
      <c r="CT5" s="82"/>
      <c r="CU5" s="1" t="s">
        <v>48</v>
      </c>
      <c r="CV5" s="1"/>
      <c r="CW5" s="1"/>
      <c r="CX5" s="1"/>
      <c r="CY5" s="1"/>
      <c r="CZ5" s="76"/>
      <c r="DA5" s="1"/>
      <c r="DB5" s="1"/>
      <c r="DC5" s="76" t="s">
        <v>5</v>
      </c>
      <c r="DD5" s="84" t="str">
        <f>+Main!E10</f>
        <v>B/BB</v>
      </c>
      <c r="DE5" s="82"/>
      <c r="DF5" s="82"/>
      <c r="DG5" s="82"/>
      <c r="DH5" s="82"/>
      <c r="DI5" s="1" t="s">
        <v>48</v>
      </c>
      <c r="DJ5" s="1"/>
      <c r="DK5" s="1"/>
      <c r="DL5" s="1"/>
      <c r="DM5" s="1"/>
      <c r="DN5" s="76"/>
      <c r="DO5" s="1"/>
      <c r="DP5" s="1"/>
      <c r="DQ5" s="76" t="s">
        <v>5</v>
      </c>
      <c r="DR5" s="84" t="str">
        <f>+Main!E11</f>
        <v>B/BB</v>
      </c>
      <c r="DS5" s="82"/>
      <c r="DT5" s="82"/>
      <c r="DU5" s="82"/>
      <c r="DV5" s="82"/>
      <c r="DW5" s="1" t="s">
        <v>48</v>
      </c>
      <c r="DX5" s="1"/>
      <c r="DY5" s="1"/>
      <c r="DZ5" s="1"/>
      <c r="EA5" s="1"/>
      <c r="EB5" s="76"/>
      <c r="EC5" s="1"/>
      <c r="ED5" s="1"/>
      <c r="EE5" s="76" t="s">
        <v>5</v>
      </c>
      <c r="EF5" s="84" t="str">
        <f>+Main!E12</f>
        <v>B/BB</v>
      </c>
      <c r="EG5" s="82"/>
      <c r="EH5" s="82"/>
      <c r="EI5" s="82"/>
      <c r="EJ5" s="82"/>
      <c r="EK5" s="1" t="s">
        <v>48</v>
      </c>
      <c r="EL5" s="1"/>
      <c r="EM5" s="1"/>
      <c r="EN5" s="1"/>
      <c r="EO5" s="1"/>
      <c r="EP5" s="76"/>
      <c r="EQ5" s="1"/>
      <c r="ER5" s="1"/>
      <c r="ES5" s="76" t="s">
        <v>5</v>
      </c>
      <c r="ET5" s="84" t="str">
        <f>+Main!E13</f>
        <v>B/BB</v>
      </c>
      <c r="EU5" s="82"/>
      <c r="EV5" s="82"/>
      <c r="EW5" s="82"/>
      <c r="EX5" s="82"/>
      <c r="EY5" s="1" t="s">
        <v>48</v>
      </c>
      <c r="EZ5" s="1"/>
      <c r="FA5" s="1"/>
      <c r="FB5" s="1"/>
      <c r="FC5" s="1"/>
      <c r="FD5" s="76"/>
      <c r="FE5" s="1"/>
      <c r="FF5" s="1"/>
      <c r="FG5" s="76" t="s">
        <v>5</v>
      </c>
      <c r="FH5" s="84" t="str">
        <f>+Main!E14</f>
        <v>B/BB</v>
      </c>
      <c r="FI5" s="82"/>
      <c r="FJ5" s="82"/>
      <c r="FK5" s="82"/>
      <c r="FL5" s="82"/>
      <c r="FM5" s="1" t="s">
        <v>48</v>
      </c>
      <c r="FN5" s="1"/>
      <c r="FO5" s="1"/>
      <c r="FP5" s="1"/>
      <c r="FQ5" s="1"/>
      <c r="FR5" s="76"/>
      <c r="FS5" s="1"/>
      <c r="FT5" s="1"/>
      <c r="FU5" s="76" t="s">
        <v>5</v>
      </c>
      <c r="FV5" s="84" t="str">
        <f>+Main!E15</f>
        <v>B/BB</v>
      </c>
      <c r="FW5" s="82"/>
      <c r="FX5" s="82"/>
      <c r="FY5" s="82"/>
      <c r="FZ5" s="82"/>
      <c r="GA5" s="1" t="s">
        <v>48</v>
      </c>
      <c r="GB5" s="1"/>
      <c r="GC5" s="1"/>
      <c r="GD5" s="1"/>
      <c r="GE5" s="1"/>
      <c r="GF5" s="76"/>
      <c r="GG5" s="1"/>
      <c r="GH5" s="1"/>
      <c r="GI5" s="76" t="s">
        <v>5</v>
      </c>
      <c r="GJ5" s="84" t="str">
        <f>+Main!E16</f>
        <v>B/BB</v>
      </c>
      <c r="GK5" s="82"/>
      <c r="GL5" s="82"/>
      <c r="GM5" s="82"/>
      <c r="GN5" s="82"/>
      <c r="GO5" s="1" t="s">
        <v>48</v>
      </c>
      <c r="GP5" s="1"/>
      <c r="GQ5" s="1"/>
      <c r="GR5" s="1"/>
      <c r="GS5" s="1"/>
      <c r="GT5" s="76"/>
      <c r="GU5" s="1"/>
      <c r="GV5" s="1"/>
      <c r="GW5" s="76" t="s">
        <v>5</v>
      </c>
      <c r="GX5" s="84" t="str">
        <f>+Main!E17</f>
        <v>B/BB</v>
      </c>
      <c r="GY5" s="82"/>
      <c r="GZ5" s="82"/>
      <c r="HA5" s="82"/>
      <c r="HB5" s="82"/>
      <c r="HC5" s="1" t="s">
        <v>48</v>
      </c>
      <c r="HD5" s="1"/>
      <c r="HE5" s="1"/>
      <c r="HF5" s="1"/>
      <c r="HG5" s="1"/>
      <c r="HH5" s="76"/>
      <c r="HI5" s="1"/>
      <c r="HJ5" s="1"/>
      <c r="HK5" s="76" t="s">
        <v>5</v>
      </c>
      <c r="HL5" s="82" t="str">
        <f>+Main!E18</f>
        <v>B/BB</v>
      </c>
      <c r="HM5" s="82"/>
      <c r="HN5" s="82"/>
      <c r="HO5" s="82"/>
      <c r="HP5" s="82"/>
      <c r="HQ5" s="1" t="s">
        <v>48</v>
      </c>
      <c r="HR5" s="1"/>
      <c r="HS5" s="1"/>
      <c r="HT5" s="1"/>
      <c r="HU5" s="1"/>
      <c r="HV5" s="76"/>
      <c r="HW5" s="1"/>
      <c r="HX5" s="1"/>
      <c r="HY5" s="76" t="s">
        <v>5</v>
      </c>
      <c r="HZ5" s="82">
        <f>+Main!E19</f>
        <v>0</v>
      </c>
      <c r="IA5" s="82"/>
      <c r="IB5" s="82"/>
      <c r="IC5" s="82"/>
      <c r="ID5" s="82"/>
      <c r="IE5" s="1" t="s">
        <v>48</v>
      </c>
      <c r="IF5" s="1"/>
      <c r="IG5" s="1"/>
      <c r="IH5" s="1"/>
      <c r="II5" s="1"/>
      <c r="IJ5" s="76"/>
      <c r="IK5" s="1"/>
      <c r="IL5" s="1"/>
      <c r="IM5" s="76" t="s">
        <v>5</v>
      </c>
      <c r="IN5" s="82">
        <f>+Main!E20</f>
        <v>0</v>
      </c>
      <c r="IO5" s="82"/>
      <c r="IP5" s="82"/>
      <c r="IQ5" s="82"/>
      <c r="IR5" s="82"/>
      <c r="IS5" s="1" t="s">
        <v>48</v>
      </c>
      <c r="IT5" s="1"/>
      <c r="IU5" s="1"/>
      <c r="IV5" s="1"/>
      <c r="IW5" s="1"/>
      <c r="IX5" s="76"/>
      <c r="IY5" s="1"/>
      <c r="IZ5" s="1"/>
      <c r="JA5" s="76" t="s">
        <v>5</v>
      </c>
      <c r="JB5" s="82">
        <f>+Main!E21</f>
        <v>0</v>
      </c>
      <c r="JC5" s="82"/>
      <c r="JD5" s="82"/>
      <c r="JE5" s="82"/>
      <c r="JF5" s="82"/>
      <c r="JG5" s="1" t="s">
        <v>48</v>
      </c>
      <c r="JH5" s="1"/>
      <c r="JI5" s="1"/>
      <c r="JJ5" s="1"/>
      <c r="JK5" s="1"/>
      <c r="JL5" s="76"/>
      <c r="JM5" s="1"/>
      <c r="JN5" s="1"/>
      <c r="JO5" s="76" t="s">
        <v>5</v>
      </c>
      <c r="JP5" s="82">
        <f>+Main!E22</f>
        <v>0</v>
      </c>
      <c r="JQ5" s="82"/>
      <c r="JR5" s="82"/>
      <c r="JS5" s="82"/>
      <c r="JT5" s="82"/>
      <c r="JU5" s="1" t="s">
        <v>48</v>
      </c>
      <c r="JV5" s="1"/>
      <c r="JW5" s="1"/>
      <c r="JX5" s="1"/>
      <c r="JY5" s="1"/>
      <c r="JZ5" s="76"/>
      <c r="KA5" s="1"/>
      <c r="KB5" s="1"/>
      <c r="KC5" s="76" t="s">
        <v>5</v>
      </c>
      <c r="KD5" s="82">
        <f>+Main!E23</f>
        <v>0</v>
      </c>
      <c r="KE5" s="82"/>
      <c r="KF5" s="82"/>
      <c r="KG5" s="82"/>
      <c r="KH5" s="82"/>
      <c r="KI5" s="1" t="s">
        <v>48</v>
      </c>
      <c r="KJ5" s="1"/>
      <c r="KK5" s="1"/>
      <c r="KL5" s="1"/>
      <c r="KM5" s="1"/>
      <c r="KN5" s="76"/>
      <c r="KO5" s="1"/>
      <c r="KP5" s="1"/>
      <c r="KQ5" s="76" t="s">
        <v>5</v>
      </c>
      <c r="KR5" s="82">
        <f>+Main!E24</f>
        <v>0</v>
      </c>
      <c r="KS5" s="82"/>
      <c r="KT5" s="82"/>
      <c r="KU5" s="82"/>
      <c r="KV5" s="82"/>
      <c r="KW5" s="1" t="s">
        <v>48</v>
      </c>
      <c r="KX5" s="1"/>
      <c r="KY5" s="1"/>
      <c r="KZ5" s="1"/>
      <c r="LA5" s="1"/>
      <c r="LB5" s="76"/>
      <c r="LC5" s="1"/>
      <c r="LD5" s="1"/>
      <c r="LE5" s="76" t="s">
        <v>5</v>
      </c>
      <c r="LF5" s="82">
        <f>+Main!E25</f>
        <v>0</v>
      </c>
      <c r="LG5" s="82"/>
      <c r="LH5" s="82"/>
      <c r="LI5" s="82"/>
      <c r="LJ5" s="82"/>
      <c r="LK5" s="1" t="s">
        <v>48</v>
      </c>
      <c r="LL5" s="1"/>
      <c r="LM5" s="1"/>
      <c r="LN5" s="1"/>
      <c r="LO5" s="1"/>
      <c r="LP5" s="76"/>
      <c r="LQ5" s="1"/>
      <c r="LR5" s="1"/>
      <c r="LS5" s="76" t="s">
        <v>5</v>
      </c>
      <c r="LT5" s="82">
        <f>+Main!E26</f>
        <v>0</v>
      </c>
      <c r="LU5" s="82"/>
      <c r="LV5" s="82"/>
      <c r="LW5" s="82"/>
      <c r="LX5" s="82"/>
      <c r="LY5" s="1" t="s">
        <v>48</v>
      </c>
      <c r="LZ5" s="1"/>
      <c r="MA5" s="1"/>
      <c r="MB5" s="1"/>
      <c r="MC5" s="1"/>
      <c r="MD5" s="76"/>
      <c r="ME5" s="1"/>
      <c r="MF5" s="1"/>
      <c r="MG5" s="76" t="s">
        <v>5</v>
      </c>
      <c r="MH5" s="82">
        <f>+Main!E27</f>
        <v>0</v>
      </c>
      <c r="MI5" s="82"/>
      <c r="MJ5" s="82"/>
      <c r="MK5" s="82"/>
      <c r="ML5" s="82"/>
      <c r="MM5" s="1" t="s">
        <v>48</v>
      </c>
      <c r="MN5" s="1"/>
      <c r="MO5" s="1"/>
      <c r="MP5" s="1"/>
      <c r="MQ5" s="1"/>
      <c r="MR5" s="76"/>
      <c r="MS5" s="1"/>
      <c r="MT5" s="1"/>
      <c r="MU5" s="76" t="s">
        <v>5</v>
      </c>
      <c r="MV5" s="82">
        <f>+Main!E28</f>
        <v>0</v>
      </c>
      <c r="MW5" s="82"/>
      <c r="MX5" s="82"/>
      <c r="MY5" s="82"/>
      <c r="MZ5" s="82"/>
      <c r="NA5" s="1" t="s">
        <v>48</v>
      </c>
      <c r="NB5" s="1"/>
      <c r="NC5" s="1"/>
      <c r="ND5" s="1"/>
      <c r="NE5" s="1"/>
      <c r="NF5" s="76"/>
      <c r="NG5" s="1"/>
      <c r="NH5" s="1"/>
      <c r="NI5" s="76" t="s">
        <v>5</v>
      </c>
      <c r="NJ5" s="82">
        <f>+Main!E29</f>
        <v>0</v>
      </c>
      <c r="NK5" s="82"/>
      <c r="NL5" s="82"/>
      <c r="NM5" s="82"/>
      <c r="NN5" s="82"/>
      <c r="NO5" s="1" t="s">
        <v>48</v>
      </c>
      <c r="NP5" s="1"/>
      <c r="NQ5" s="1"/>
      <c r="NR5" s="1"/>
      <c r="NS5" s="1"/>
      <c r="NT5" s="76"/>
      <c r="NU5" s="1"/>
      <c r="NV5" s="1"/>
      <c r="NW5" s="76" t="s">
        <v>5</v>
      </c>
      <c r="NX5" s="82">
        <f>+Main!E30</f>
        <v>0</v>
      </c>
      <c r="NY5" s="82"/>
      <c r="NZ5" s="82"/>
      <c r="OA5" s="82"/>
      <c r="OB5" s="82"/>
      <c r="OC5" s="1" t="s">
        <v>48</v>
      </c>
      <c r="OD5" s="1"/>
      <c r="OE5" s="1"/>
      <c r="OF5" s="1"/>
      <c r="OG5" s="1"/>
      <c r="OH5" s="76"/>
      <c r="OI5" s="1"/>
      <c r="OJ5" s="1"/>
      <c r="OK5" s="76" t="s">
        <v>5</v>
      </c>
      <c r="OL5" s="82">
        <f>+Main!E31</f>
        <v>0</v>
      </c>
      <c r="OM5" s="82"/>
      <c r="ON5" s="82"/>
      <c r="OO5" s="82"/>
      <c r="OP5" s="82"/>
      <c r="OQ5" s="1" t="s">
        <v>48</v>
      </c>
      <c r="OR5" s="1"/>
      <c r="OS5" s="1"/>
      <c r="OT5" s="1"/>
      <c r="OU5" s="1"/>
      <c r="OV5" s="76"/>
      <c r="OW5" s="1"/>
      <c r="OX5" s="1"/>
      <c r="OY5" s="76" t="s">
        <v>5</v>
      </c>
      <c r="OZ5" s="82">
        <f>+Main!E32</f>
        <v>0</v>
      </c>
      <c r="PA5" s="82"/>
      <c r="PB5" s="82"/>
      <c r="PC5" s="82"/>
      <c r="PD5" s="82"/>
      <c r="PE5" s="1" t="s">
        <v>48</v>
      </c>
      <c r="PF5" s="1"/>
      <c r="PG5" s="1"/>
      <c r="PH5" s="1"/>
      <c r="PI5" s="1"/>
      <c r="PJ5" s="76"/>
      <c r="PK5" s="1"/>
      <c r="PL5" s="1"/>
      <c r="PM5" s="76" t="s">
        <v>5</v>
      </c>
      <c r="PN5" s="82">
        <f>+Main!E33</f>
        <v>0</v>
      </c>
      <c r="PO5" s="82"/>
      <c r="PP5" s="82"/>
      <c r="PQ5" s="82"/>
      <c r="PR5" s="82"/>
      <c r="PS5" s="1" t="s">
        <v>48</v>
      </c>
      <c r="PT5" s="1"/>
      <c r="PU5" s="1"/>
      <c r="PV5" s="1"/>
      <c r="PW5" s="1"/>
      <c r="PX5" s="76"/>
      <c r="PY5" s="1"/>
      <c r="PZ5" s="1"/>
      <c r="QA5" s="76" t="s">
        <v>5</v>
      </c>
      <c r="QB5" s="82">
        <f>+Main!E34</f>
        <v>0</v>
      </c>
      <c r="QC5" s="82"/>
      <c r="QD5" s="82"/>
      <c r="QE5" s="82"/>
      <c r="QF5" s="82"/>
      <c r="QG5" s="76"/>
      <c r="QH5" s="1"/>
      <c r="QI5" s="1"/>
      <c r="QJ5" s="1"/>
      <c r="QK5" s="1"/>
      <c r="QL5" s="1"/>
      <c r="QM5" s="1"/>
      <c r="QN5" s="1"/>
      <c r="QO5" s="1"/>
      <c r="QP5" s="1"/>
      <c r="QQ5" s="76"/>
      <c r="QR5" s="1"/>
      <c r="QS5" s="1"/>
      <c r="QT5" s="1"/>
      <c r="QU5" s="1"/>
    </row>
    <row r="6" spans="1:463" ht="36.6">
      <c r="A6" s="1" t="s">
        <v>70</v>
      </c>
      <c r="B6" s="1"/>
      <c r="C6" s="1"/>
      <c r="D6" s="1"/>
      <c r="E6" s="1"/>
      <c r="F6" s="76"/>
      <c r="G6" s="1"/>
      <c r="H6" s="1"/>
      <c r="I6" s="76" t="s">
        <v>5</v>
      </c>
      <c r="J6" s="84">
        <f>+Main!F3</f>
        <v>176</v>
      </c>
      <c r="K6" s="83" t="s">
        <v>15</v>
      </c>
      <c r="L6" s="85">
        <f>+Main!L3</f>
        <v>2.6840000000000002</v>
      </c>
      <c r="M6" s="82"/>
      <c r="N6" s="82"/>
      <c r="O6" s="1" t="s">
        <v>70</v>
      </c>
      <c r="P6" s="1"/>
      <c r="Q6" s="1"/>
      <c r="R6" s="1"/>
      <c r="S6" s="1"/>
      <c r="T6" s="76"/>
      <c r="U6" s="1"/>
      <c r="V6" s="1"/>
      <c r="W6" s="76" t="s">
        <v>5</v>
      </c>
      <c r="X6" s="84">
        <f>+Main!F4</f>
        <v>88</v>
      </c>
      <c r="Y6" s="83" t="s">
        <v>15</v>
      </c>
      <c r="Z6" s="85">
        <f>+Main!L4</f>
        <v>2.6840000000000002</v>
      </c>
      <c r="AA6" s="82"/>
      <c r="AB6" s="82"/>
      <c r="AC6" s="1" t="s">
        <v>70</v>
      </c>
      <c r="AD6" s="1"/>
      <c r="AE6" s="1"/>
      <c r="AF6" s="1"/>
      <c r="AG6" s="1"/>
      <c r="AH6" s="76"/>
      <c r="AI6" s="1"/>
      <c r="AJ6" s="1"/>
      <c r="AK6" s="76" t="s">
        <v>5</v>
      </c>
      <c r="AL6" s="84">
        <f>+Main!F5</f>
        <v>88</v>
      </c>
      <c r="AM6" s="83" t="s">
        <v>15</v>
      </c>
      <c r="AN6" s="85">
        <f>+Main!L5</f>
        <v>2.6840000000000002</v>
      </c>
      <c r="AO6" s="82"/>
      <c r="AP6" s="82"/>
      <c r="AQ6" s="1" t="s">
        <v>70</v>
      </c>
      <c r="AR6" s="1"/>
      <c r="AS6" s="1"/>
      <c r="AT6" s="1"/>
      <c r="AU6" s="1"/>
      <c r="AV6" s="76"/>
      <c r="AW6" s="1"/>
      <c r="AX6" s="1"/>
      <c r="AY6" s="76" t="s">
        <v>5</v>
      </c>
      <c r="AZ6" s="84">
        <f>+Main!F6</f>
        <v>40</v>
      </c>
      <c r="BA6" s="83" t="s">
        <v>15</v>
      </c>
      <c r="BB6" s="85">
        <f>+Main!L6</f>
        <v>2.6840000000000002</v>
      </c>
      <c r="BC6" s="82"/>
      <c r="BD6" s="82"/>
      <c r="BE6" s="1" t="s">
        <v>70</v>
      </c>
      <c r="BF6" s="1"/>
      <c r="BG6" s="1"/>
      <c r="BH6" s="1"/>
      <c r="BI6" s="1"/>
      <c r="BJ6" s="76"/>
      <c r="BK6" s="1"/>
      <c r="BL6" s="1"/>
      <c r="BM6" s="76" t="s">
        <v>5</v>
      </c>
      <c r="BN6" s="84">
        <f>+Main!F7</f>
        <v>67</v>
      </c>
      <c r="BO6" s="83" t="s">
        <v>15</v>
      </c>
      <c r="BP6" s="85">
        <f>+Main!L7</f>
        <v>3.17781</v>
      </c>
      <c r="BQ6" s="82"/>
      <c r="BR6" s="82"/>
      <c r="BS6" s="1" t="s">
        <v>70</v>
      </c>
      <c r="BT6" s="1"/>
      <c r="BU6" s="1"/>
      <c r="BV6" s="1"/>
      <c r="BW6" s="1"/>
      <c r="BX6" s="76"/>
      <c r="BY6" s="1"/>
      <c r="BZ6" s="1"/>
      <c r="CA6" s="76" t="s">
        <v>5</v>
      </c>
      <c r="CB6" s="84">
        <f>+Main!F8</f>
        <v>67</v>
      </c>
      <c r="CC6" s="83" t="s">
        <v>15</v>
      </c>
      <c r="CD6" s="85">
        <f>+Main!L8</f>
        <v>3.17781</v>
      </c>
      <c r="CE6" s="82"/>
      <c r="CF6" s="82"/>
      <c r="CG6" s="1" t="s">
        <v>70</v>
      </c>
      <c r="CH6" s="1"/>
      <c r="CI6" s="1"/>
      <c r="CJ6" s="1"/>
      <c r="CK6" s="1"/>
      <c r="CL6" s="76"/>
      <c r="CM6" s="1"/>
      <c r="CN6" s="1"/>
      <c r="CO6" s="76" t="s">
        <v>5</v>
      </c>
      <c r="CP6" s="84">
        <f>+Main!F9</f>
        <v>67</v>
      </c>
      <c r="CQ6" s="83" t="s">
        <v>15</v>
      </c>
      <c r="CR6" s="85">
        <f>+Main!L9</f>
        <v>3.17781</v>
      </c>
      <c r="CS6" s="82"/>
      <c r="CT6" s="82"/>
      <c r="CU6" s="1" t="s">
        <v>70</v>
      </c>
      <c r="CV6" s="1"/>
      <c r="CW6" s="1"/>
      <c r="CX6" s="1"/>
      <c r="CY6" s="1"/>
      <c r="CZ6" s="76"/>
      <c r="DA6" s="1"/>
      <c r="DB6" s="1"/>
      <c r="DC6" s="76" t="s">
        <v>5</v>
      </c>
      <c r="DD6" s="84">
        <f>+Main!F10</f>
        <v>67</v>
      </c>
      <c r="DE6" s="83" t="s">
        <v>15</v>
      </c>
      <c r="DF6" s="85">
        <f>+Main!L10</f>
        <v>3.17781</v>
      </c>
      <c r="DG6" s="82"/>
      <c r="DH6" s="82"/>
      <c r="DI6" s="1" t="s">
        <v>70</v>
      </c>
      <c r="DJ6" s="1"/>
      <c r="DK6" s="1"/>
      <c r="DL6" s="1"/>
      <c r="DM6" s="1"/>
      <c r="DN6" s="76"/>
      <c r="DO6" s="1"/>
      <c r="DP6" s="1"/>
      <c r="DQ6" s="76" t="s">
        <v>5</v>
      </c>
      <c r="DR6" s="84">
        <f>+Main!F11</f>
        <v>67</v>
      </c>
      <c r="DS6" s="83" t="s">
        <v>15</v>
      </c>
      <c r="DT6" s="85">
        <f>+Main!L11</f>
        <v>3.17781</v>
      </c>
      <c r="DU6" s="82"/>
      <c r="DV6" s="82"/>
      <c r="DW6" s="1" t="s">
        <v>70</v>
      </c>
      <c r="DX6" s="1"/>
      <c r="DY6" s="1"/>
      <c r="DZ6" s="1"/>
      <c r="EA6" s="1"/>
      <c r="EB6" s="76"/>
      <c r="EC6" s="1"/>
      <c r="ED6" s="1"/>
      <c r="EE6" s="76" t="s">
        <v>5</v>
      </c>
      <c r="EF6" s="84">
        <f>+Main!F12</f>
        <v>67</v>
      </c>
      <c r="EG6" s="83" t="s">
        <v>15</v>
      </c>
      <c r="EH6" s="85">
        <f>+Main!L12</f>
        <v>3.17781</v>
      </c>
      <c r="EI6" s="82"/>
      <c r="EJ6" s="82"/>
      <c r="EK6" s="1" t="s">
        <v>70</v>
      </c>
      <c r="EL6" s="1"/>
      <c r="EM6" s="1"/>
      <c r="EN6" s="1"/>
      <c r="EO6" s="1"/>
      <c r="EP6" s="76"/>
      <c r="EQ6" s="1"/>
      <c r="ER6" s="1"/>
      <c r="ES6" s="76" t="s">
        <v>5</v>
      </c>
      <c r="ET6" s="84">
        <f>+Main!F13</f>
        <v>67</v>
      </c>
      <c r="EU6" s="83" t="s">
        <v>15</v>
      </c>
      <c r="EV6" s="85">
        <f>+Main!L13</f>
        <v>3.17781</v>
      </c>
      <c r="EW6" s="82"/>
      <c r="EX6" s="82"/>
      <c r="EY6" s="1" t="s">
        <v>70</v>
      </c>
      <c r="EZ6" s="1"/>
      <c r="FA6" s="1"/>
      <c r="FB6" s="1"/>
      <c r="FC6" s="1"/>
      <c r="FD6" s="76"/>
      <c r="FE6" s="1"/>
      <c r="FF6" s="1"/>
      <c r="FG6" s="76" t="s">
        <v>5</v>
      </c>
      <c r="FH6" s="84">
        <f>+Main!F14</f>
        <v>33</v>
      </c>
      <c r="FI6" s="83" t="s">
        <v>15</v>
      </c>
      <c r="FJ6" s="85">
        <f>+Main!L14</f>
        <v>3.1303800000000002</v>
      </c>
      <c r="FK6" s="82"/>
      <c r="FL6" s="82"/>
      <c r="FM6" s="1" t="s">
        <v>70</v>
      </c>
      <c r="FN6" s="1"/>
      <c r="FO6" s="1"/>
      <c r="FP6" s="1"/>
      <c r="FQ6" s="1"/>
      <c r="FR6" s="76"/>
      <c r="FS6" s="1"/>
      <c r="FT6" s="1"/>
      <c r="FU6" s="76" t="s">
        <v>5</v>
      </c>
      <c r="FV6" s="84">
        <f>+Main!F15</f>
        <v>33</v>
      </c>
      <c r="FW6" s="83" t="s">
        <v>15</v>
      </c>
      <c r="FX6" s="85">
        <f>+Main!L15</f>
        <v>3.1303800000000002</v>
      </c>
      <c r="FY6" s="82"/>
      <c r="FZ6" s="82"/>
      <c r="GA6" s="1" t="s">
        <v>70</v>
      </c>
      <c r="GB6" s="1"/>
      <c r="GC6" s="1"/>
      <c r="GD6" s="1"/>
      <c r="GE6" s="1"/>
      <c r="GF6" s="76"/>
      <c r="GG6" s="1"/>
      <c r="GH6" s="1"/>
      <c r="GI6" s="76" t="s">
        <v>5</v>
      </c>
      <c r="GJ6" s="84">
        <f>+Main!F16</f>
        <v>33</v>
      </c>
      <c r="GK6" s="83" t="s">
        <v>15</v>
      </c>
      <c r="GL6" s="85">
        <f>+Main!L16</f>
        <v>3.1303800000000002</v>
      </c>
      <c r="GM6" s="82"/>
      <c r="GN6" s="82"/>
      <c r="GO6" s="1" t="s">
        <v>70</v>
      </c>
      <c r="GP6" s="1"/>
      <c r="GQ6" s="1"/>
      <c r="GR6" s="1"/>
      <c r="GS6" s="1"/>
      <c r="GT6" s="76"/>
      <c r="GU6" s="1"/>
      <c r="GV6" s="1"/>
      <c r="GW6" s="76" t="s">
        <v>5</v>
      </c>
      <c r="GX6" s="84">
        <f>+Main!F17</f>
        <v>30</v>
      </c>
      <c r="GY6" s="83" t="s">
        <v>15</v>
      </c>
      <c r="GZ6" s="85">
        <f>+Main!L17</f>
        <v>3.1303800000000002</v>
      </c>
      <c r="HA6" s="82"/>
      <c r="HB6" s="82"/>
      <c r="HC6" s="1" t="s">
        <v>70</v>
      </c>
      <c r="HD6" s="1"/>
      <c r="HE6" s="1"/>
      <c r="HF6" s="1"/>
      <c r="HG6" s="1"/>
      <c r="HH6" s="76"/>
      <c r="HI6" s="1"/>
      <c r="HJ6" s="1"/>
      <c r="HK6" s="76" t="s">
        <v>5</v>
      </c>
      <c r="HL6" s="84">
        <f>+Main!F18</f>
        <v>22</v>
      </c>
      <c r="HM6" s="83" t="s">
        <v>15</v>
      </c>
      <c r="HN6" s="85">
        <f>+Main!L18</f>
        <v>3.1303800000000002</v>
      </c>
      <c r="HO6" s="82"/>
      <c r="HP6" s="82"/>
      <c r="HQ6" s="1" t="s">
        <v>70</v>
      </c>
      <c r="HR6" s="1"/>
      <c r="HS6" s="1"/>
      <c r="HT6" s="1"/>
      <c r="HU6" s="1"/>
      <c r="HV6" s="76"/>
      <c r="HW6" s="1"/>
      <c r="HX6" s="1"/>
      <c r="HY6" s="76" t="s">
        <v>5</v>
      </c>
      <c r="HZ6" s="84">
        <f>+Main!F19</f>
        <v>0</v>
      </c>
      <c r="IA6" s="83" t="s">
        <v>15</v>
      </c>
      <c r="IB6" s="85">
        <f>+Main!L19</f>
        <v>0</v>
      </c>
      <c r="IC6" s="82"/>
      <c r="ID6" s="82"/>
      <c r="IE6" s="1" t="s">
        <v>70</v>
      </c>
      <c r="IF6" s="1"/>
      <c r="IG6" s="1"/>
      <c r="IH6" s="1"/>
      <c r="II6" s="1"/>
      <c r="IJ6" s="76"/>
      <c r="IK6" s="1"/>
      <c r="IL6" s="1"/>
      <c r="IM6" s="76" t="s">
        <v>5</v>
      </c>
      <c r="IN6" s="84">
        <f>+Main!F20</f>
        <v>0</v>
      </c>
      <c r="IO6" s="83" t="s">
        <v>15</v>
      </c>
      <c r="IP6" s="85">
        <f>+Main!L20</f>
        <v>0</v>
      </c>
      <c r="IQ6" s="82"/>
      <c r="IR6" s="82"/>
      <c r="IS6" s="1" t="s">
        <v>70</v>
      </c>
      <c r="IT6" s="1"/>
      <c r="IU6" s="1"/>
      <c r="IV6" s="1"/>
      <c r="IW6" s="1"/>
      <c r="IX6" s="76"/>
      <c r="IY6" s="1"/>
      <c r="IZ6" s="1"/>
      <c r="JA6" s="76" t="s">
        <v>5</v>
      </c>
      <c r="JB6" s="84">
        <f>+Main!F21</f>
        <v>0</v>
      </c>
      <c r="JC6" s="83" t="s">
        <v>15</v>
      </c>
      <c r="JD6" s="85">
        <f>+Main!L21</f>
        <v>0</v>
      </c>
      <c r="JE6" s="82"/>
      <c r="JF6" s="82"/>
      <c r="JG6" s="1" t="s">
        <v>70</v>
      </c>
      <c r="JH6" s="1"/>
      <c r="JI6" s="1"/>
      <c r="JJ6" s="1"/>
      <c r="JK6" s="1"/>
      <c r="JL6" s="76"/>
      <c r="JM6" s="1"/>
      <c r="JN6" s="1"/>
      <c r="JO6" s="76" t="s">
        <v>5</v>
      </c>
      <c r="JP6" s="84">
        <f>+Main!F22</f>
        <v>0</v>
      </c>
      <c r="JQ6" s="83" t="s">
        <v>15</v>
      </c>
      <c r="JR6" s="85">
        <f>+Main!L22</f>
        <v>0</v>
      </c>
      <c r="JS6" s="82"/>
      <c r="JT6" s="82"/>
      <c r="JU6" s="1" t="s">
        <v>70</v>
      </c>
      <c r="JV6" s="1"/>
      <c r="JW6" s="1"/>
      <c r="JX6" s="1"/>
      <c r="JY6" s="1"/>
      <c r="JZ6" s="76"/>
      <c r="KA6" s="1"/>
      <c r="KB6" s="1"/>
      <c r="KC6" s="76" t="s">
        <v>5</v>
      </c>
      <c r="KD6" s="84">
        <f>+Main!F23</f>
        <v>0</v>
      </c>
      <c r="KE6" s="83" t="s">
        <v>15</v>
      </c>
      <c r="KF6" s="85">
        <f>+Main!L23</f>
        <v>0</v>
      </c>
      <c r="KG6" s="82"/>
      <c r="KH6" s="82"/>
      <c r="KI6" s="1" t="s">
        <v>70</v>
      </c>
      <c r="KJ6" s="1"/>
      <c r="KK6" s="1"/>
      <c r="KL6" s="1"/>
      <c r="KM6" s="1"/>
      <c r="KN6" s="76"/>
      <c r="KO6" s="1"/>
      <c r="KP6" s="1"/>
      <c r="KQ6" s="76" t="s">
        <v>5</v>
      </c>
      <c r="KR6" s="84">
        <f>+Main!F24</f>
        <v>0</v>
      </c>
      <c r="KS6" s="83" t="s">
        <v>15</v>
      </c>
      <c r="KT6" s="85">
        <f>+Main!L24</f>
        <v>0</v>
      </c>
      <c r="KU6" s="82"/>
      <c r="KV6" s="82"/>
      <c r="KW6" s="1" t="s">
        <v>70</v>
      </c>
      <c r="KX6" s="1"/>
      <c r="KY6" s="1"/>
      <c r="KZ6" s="1"/>
      <c r="LA6" s="1"/>
      <c r="LB6" s="76"/>
      <c r="LC6" s="1"/>
      <c r="LD6" s="1"/>
      <c r="LE6" s="76" t="s">
        <v>5</v>
      </c>
      <c r="LF6" s="84">
        <f>+Main!F25</f>
        <v>0</v>
      </c>
      <c r="LG6" s="83" t="s">
        <v>15</v>
      </c>
      <c r="LH6" s="85">
        <f>+Main!L25</f>
        <v>0</v>
      </c>
      <c r="LI6" s="82"/>
      <c r="LJ6" s="82"/>
      <c r="LK6" s="1" t="s">
        <v>70</v>
      </c>
      <c r="LL6" s="1"/>
      <c r="LM6" s="1"/>
      <c r="LN6" s="1"/>
      <c r="LO6" s="1"/>
      <c r="LP6" s="76"/>
      <c r="LQ6" s="1"/>
      <c r="LR6" s="1"/>
      <c r="LS6" s="76" t="s">
        <v>5</v>
      </c>
      <c r="LT6" s="84">
        <f>+Main!F26</f>
        <v>0</v>
      </c>
      <c r="LU6" s="83" t="s">
        <v>15</v>
      </c>
      <c r="LV6" s="85">
        <f>+Main!L26</f>
        <v>0</v>
      </c>
      <c r="LW6" s="82"/>
      <c r="LX6" s="82"/>
      <c r="LY6" s="1" t="s">
        <v>70</v>
      </c>
      <c r="LZ6" s="1"/>
      <c r="MA6" s="1"/>
      <c r="MB6" s="1"/>
      <c r="MC6" s="1"/>
      <c r="MD6" s="76"/>
      <c r="ME6" s="1"/>
      <c r="MF6" s="1"/>
      <c r="MG6" s="76" t="s">
        <v>5</v>
      </c>
      <c r="MH6" s="84">
        <f>+Main!F27</f>
        <v>0</v>
      </c>
      <c r="MI6" s="83" t="s">
        <v>15</v>
      </c>
      <c r="MJ6" s="85">
        <f>+Main!L27</f>
        <v>0</v>
      </c>
      <c r="MK6" s="82"/>
      <c r="ML6" s="82"/>
      <c r="MM6" s="1" t="s">
        <v>70</v>
      </c>
      <c r="MN6" s="1"/>
      <c r="MO6" s="1"/>
      <c r="MP6" s="1"/>
      <c r="MQ6" s="1"/>
      <c r="MR6" s="76"/>
      <c r="MS6" s="1"/>
      <c r="MT6" s="1"/>
      <c r="MU6" s="76" t="s">
        <v>5</v>
      </c>
      <c r="MV6" s="84">
        <f>+Main!F28</f>
        <v>0</v>
      </c>
      <c r="MW6" s="83" t="s">
        <v>15</v>
      </c>
      <c r="MX6" s="85">
        <f>+Main!L28</f>
        <v>0</v>
      </c>
      <c r="MY6" s="82"/>
      <c r="MZ6" s="82"/>
      <c r="NA6" s="1" t="s">
        <v>70</v>
      </c>
      <c r="NB6" s="1"/>
      <c r="NC6" s="1"/>
      <c r="ND6" s="1"/>
      <c r="NE6" s="1"/>
      <c r="NF6" s="76"/>
      <c r="NG6" s="1"/>
      <c r="NH6" s="1"/>
      <c r="NI6" s="76" t="s">
        <v>5</v>
      </c>
      <c r="NJ6" s="84">
        <f>+Main!F29</f>
        <v>0</v>
      </c>
      <c r="NK6" s="83" t="s">
        <v>15</v>
      </c>
      <c r="NL6" s="85">
        <f>+Main!L29</f>
        <v>0</v>
      </c>
      <c r="NM6" s="82"/>
      <c r="NN6" s="82"/>
      <c r="NO6" s="1" t="s">
        <v>70</v>
      </c>
      <c r="NP6" s="1"/>
      <c r="NQ6" s="1"/>
      <c r="NR6" s="1"/>
      <c r="NS6" s="1"/>
      <c r="NT6" s="76"/>
      <c r="NU6" s="1"/>
      <c r="NV6" s="1"/>
      <c r="NW6" s="76" t="s">
        <v>5</v>
      </c>
      <c r="NX6" s="84">
        <f>+Main!F30</f>
        <v>0</v>
      </c>
      <c r="NY6" s="83" t="s">
        <v>15</v>
      </c>
      <c r="NZ6" s="85">
        <f>+Main!L30</f>
        <v>0</v>
      </c>
      <c r="OA6" s="82"/>
      <c r="OB6" s="82"/>
      <c r="OC6" s="1" t="s">
        <v>70</v>
      </c>
      <c r="OD6" s="1"/>
      <c r="OE6" s="1"/>
      <c r="OF6" s="1"/>
      <c r="OG6" s="1"/>
      <c r="OH6" s="76"/>
      <c r="OI6" s="1"/>
      <c r="OJ6" s="1"/>
      <c r="OK6" s="76" t="s">
        <v>5</v>
      </c>
      <c r="OL6" s="84">
        <f>+Main!F31</f>
        <v>0</v>
      </c>
      <c r="OM6" s="83" t="s">
        <v>15</v>
      </c>
      <c r="ON6" s="85">
        <f>+Main!L31</f>
        <v>0</v>
      </c>
      <c r="OO6" s="82"/>
      <c r="OP6" s="82"/>
      <c r="OQ6" s="1" t="s">
        <v>70</v>
      </c>
      <c r="OR6" s="1"/>
      <c r="OS6" s="1"/>
      <c r="OT6" s="1"/>
      <c r="OU6" s="1"/>
      <c r="OV6" s="76"/>
      <c r="OW6" s="1"/>
      <c r="OX6" s="1"/>
      <c r="OY6" s="76" t="s">
        <v>5</v>
      </c>
      <c r="OZ6" s="84">
        <f>+Main!F32</f>
        <v>0</v>
      </c>
      <c r="PA6" s="83" t="s">
        <v>15</v>
      </c>
      <c r="PB6" s="85">
        <f>+Main!L32</f>
        <v>0</v>
      </c>
      <c r="PC6" s="82"/>
      <c r="PD6" s="82"/>
      <c r="PE6" s="1" t="s">
        <v>70</v>
      </c>
      <c r="PF6" s="1"/>
      <c r="PG6" s="1"/>
      <c r="PH6" s="1"/>
      <c r="PI6" s="1"/>
      <c r="PJ6" s="76"/>
      <c r="PK6" s="1"/>
      <c r="PL6" s="1"/>
      <c r="PM6" s="76" t="s">
        <v>5</v>
      </c>
      <c r="PN6" s="84">
        <f>+Main!F33</f>
        <v>0</v>
      </c>
      <c r="PO6" s="83" t="s">
        <v>15</v>
      </c>
      <c r="PP6" s="85">
        <f>+Main!L33</f>
        <v>0</v>
      </c>
      <c r="PQ6" s="82"/>
      <c r="PR6" s="82"/>
      <c r="PS6" s="1" t="s">
        <v>70</v>
      </c>
      <c r="PT6" s="1"/>
      <c r="PU6" s="1"/>
      <c r="PV6" s="1"/>
      <c r="PW6" s="1"/>
      <c r="PX6" s="76"/>
      <c r="PY6" s="1"/>
      <c r="PZ6" s="1"/>
      <c r="QA6" s="76" t="s">
        <v>5</v>
      </c>
      <c r="QB6" s="84">
        <f>+Main!F34</f>
        <v>0</v>
      </c>
      <c r="QC6" s="83" t="s">
        <v>15</v>
      </c>
      <c r="QD6" s="85">
        <f>+Main!L34</f>
        <v>0</v>
      </c>
      <c r="QE6" s="82"/>
      <c r="QF6" s="82"/>
      <c r="QG6" s="76"/>
      <c r="QH6" s="1"/>
      <c r="QI6" s="1"/>
      <c r="QJ6" s="1"/>
      <c r="QK6" s="1"/>
      <c r="QL6" s="1"/>
      <c r="QM6" s="1"/>
      <c r="QN6" s="1"/>
      <c r="QO6" s="1"/>
      <c r="QP6" s="1"/>
      <c r="QQ6" s="76"/>
      <c r="QR6" s="1"/>
      <c r="QS6" s="1"/>
      <c r="QT6" s="1"/>
      <c r="QU6" s="1"/>
    </row>
    <row r="7" spans="1:463" ht="36.6">
      <c r="A7" s="1" t="s">
        <v>49</v>
      </c>
      <c r="B7" s="1"/>
      <c r="C7" s="1"/>
      <c r="D7" s="1"/>
      <c r="E7" s="1"/>
      <c r="F7" s="76"/>
      <c r="G7" s="79"/>
      <c r="H7" s="79"/>
      <c r="I7" s="77" t="s">
        <v>5</v>
      </c>
      <c r="J7" s="85" t="s">
        <v>73</v>
      </c>
      <c r="K7" s="82"/>
      <c r="L7" s="82"/>
      <c r="M7" s="82"/>
      <c r="N7" s="82"/>
      <c r="O7" s="1" t="s">
        <v>49</v>
      </c>
      <c r="P7" s="1"/>
      <c r="Q7" s="1"/>
      <c r="R7" s="1"/>
      <c r="S7" s="1"/>
      <c r="T7" s="76"/>
      <c r="U7" s="79"/>
      <c r="V7" s="79"/>
      <c r="W7" s="77" t="s">
        <v>5</v>
      </c>
      <c r="X7" s="86" t="s">
        <v>73</v>
      </c>
      <c r="Y7" s="82"/>
      <c r="Z7" s="82"/>
      <c r="AA7" s="82"/>
      <c r="AB7" s="82"/>
      <c r="AC7" s="1" t="s">
        <v>49</v>
      </c>
      <c r="AD7" s="1"/>
      <c r="AE7" s="1"/>
      <c r="AF7" s="1"/>
      <c r="AG7" s="1"/>
      <c r="AH7" s="76"/>
      <c r="AI7" s="79"/>
      <c r="AJ7" s="79"/>
      <c r="AK7" s="77" t="s">
        <v>5</v>
      </c>
      <c r="AL7" s="86" t="s">
        <v>73</v>
      </c>
      <c r="AM7" s="82"/>
      <c r="AN7" s="82"/>
      <c r="AO7" s="82"/>
      <c r="AP7" s="82"/>
      <c r="AQ7" s="1" t="s">
        <v>49</v>
      </c>
      <c r="AR7" s="1"/>
      <c r="AS7" s="1"/>
      <c r="AT7" s="1"/>
      <c r="AU7" s="1"/>
      <c r="AV7" s="76"/>
      <c r="AW7" s="79"/>
      <c r="AX7" s="79"/>
      <c r="AY7" s="77" t="s">
        <v>5</v>
      </c>
      <c r="AZ7" s="86" t="s">
        <v>73</v>
      </c>
      <c r="BA7" s="82"/>
      <c r="BB7" s="82"/>
      <c r="BC7" s="82"/>
      <c r="BD7" s="82"/>
      <c r="BE7" s="1" t="s">
        <v>49</v>
      </c>
      <c r="BF7" s="1"/>
      <c r="BG7" s="1"/>
      <c r="BH7" s="1"/>
      <c r="BI7" s="1"/>
      <c r="BJ7" s="76"/>
      <c r="BK7" s="79"/>
      <c r="BL7" s="79"/>
      <c r="BM7" s="77" t="s">
        <v>5</v>
      </c>
      <c r="BN7" s="86" t="s">
        <v>73</v>
      </c>
      <c r="BO7" s="82"/>
      <c r="BP7" s="82"/>
      <c r="BQ7" s="82"/>
      <c r="BR7" s="82"/>
      <c r="BS7" s="1" t="s">
        <v>49</v>
      </c>
      <c r="BT7" s="1"/>
      <c r="BU7" s="1"/>
      <c r="BV7" s="1"/>
      <c r="BW7" s="1"/>
      <c r="BX7" s="76"/>
      <c r="BY7" s="79"/>
      <c r="BZ7" s="79"/>
      <c r="CA7" s="77" t="s">
        <v>5</v>
      </c>
      <c r="CB7" s="86" t="s">
        <v>73</v>
      </c>
      <c r="CC7" s="82"/>
      <c r="CD7" s="82"/>
      <c r="CE7" s="82"/>
      <c r="CF7" s="82"/>
      <c r="CG7" s="1" t="s">
        <v>49</v>
      </c>
      <c r="CH7" s="1"/>
      <c r="CI7" s="1"/>
      <c r="CJ7" s="1"/>
      <c r="CK7" s="1"/>
      <c r="CL7" s="76"/>
      <c r="CM7" s="79"/>
      <c r="CN7" s="79"/>
      <c r="CO7" s="77" t="s">
        <v>5</v>
      </c>
      <c r="CP7" s="86" t="s">
        <v>73</v>
      </c>
      <c r="CQ7" s="82"/>
      <c r="CR7" s="82"/>
      <c r="CS7" s="82"/>
      <c r="CT7" s="82"/>
      <c r="CU7" s="1" t="s">
        <v>49</v>
      </c>
      <c r="CV7" s="1"/>
      <c r="CW7" s="1"/>
      <c r="CX7" s="1"/>
      <c r="CY7" s="1"/>
      <c r="CZ7" s="76"/>
      <c r="DA7" s="79"/>
      <c r="DB7" s="79"/>
      <c r="DC7" s="77" t="s">
        <v>5</v>
      </c>
      <c r="DD7" s="86" t="s">
        <v>73</v>
      </c>
      <c r="DE7" s="82"/>
      <c r="DF7" s="82"/>
      <c r="DG7" s="82"/>
      <c r="DH7" s="82"/>
      <c r="DI7" s="1" t="s">
        <v>49</v>
      </c>
      <c r="DJ7" s="1"/>
      <c r="DK7" s="1"/>
      <c r="DL7" s="1"/>
      <c r="DM7" s="1"/>
      <c r="DN7" s="76"/>
      <c r="DO7" s="79"/>
      <c r="DP7" s="79"/>
      <c r="DQ7" s="77" t="s">
        <v>5</v>
      </c>
      <c r="DR7" s="86" t="s">
        <v>73</v>
      </c>
      <c r="DS7" s="82"/>
      <c r="DT7" s="82"/>
      <c r="DU7" s="82"/>
      <c r="DV7" s="82"/>
      <c r="DW7" s="1" t="s">
        <v>49</v>
      </c>
      <c r="DX7" s="1"/>
      <c r="DY7" s="1"/>
      <c r="DZ7" s="1"/>
      <c r="EA7" s="1"/>
      <c r="EB7" s="76"/>
      <c r="EC7" s="79"/>
      <c r="ED7" s="79"/>
      <c r="EE7" s="77" t="s">
        <v>5</v>
      </c>
      <c r="EF7" s="86" t="s">
        <v>73</v>
      </c>
      <c r="EG7" s="82"/>
      <c r="EH7" s="82"/>
      <c r="EI7" s="82"/>
      <c r="EJ7" s="82"/>
      <c r="EK7" s="1" t="s">
        <v>49</v>
      </c>
      <c r="EL7" s="1"/>
      <c r="EM7" s="1"/>
      <c r="EN7" s="1"/>
      <c r="EO7" s="1"/>
      <c r="EP7" s="76"/>
      <c r="EQ7" s="79"/>
      <c r="ER7" s="79"/>
      <c r="ES7" s="77" t="s">
        <v>5</v>
      </c>
      <c r="ET7" s="86" t="s">
        <v>73</v>
      </c>
      <c r="EU7" s="82"/>
      <c r="EV7" s="82"/>
      <c r="EW7" s="82"/>
      <c r="EX7" s="82"/>
      <c r="EY7" s="1" t="s">
        <v>49</v>
      </c>
      <c r="EZ7" s="1"/>
      <c r="FA7" s="1"/>
      <c r="FB7" s="1"/>
      <c r="FC7" s="1"/>
      <c r="FD7" s="76"/>
      <c r="FE7" s="79"/>
      <c r="FF7" s="79"/>
      <c r="FG7" s="77" t="s">
        <v>5</v>
      </c>
      <c r="FH7" s="86" t="s">
        <v>73</v>
      </c>
      <c r="FI7" s="82"/>
      <c r="FJ7" s="82"/>
      <c r="FK7" s="82"/>
      <c r="FL7" s="82"/>
      <c r="FM7" s="1" t="s">
        <v>49</v>
      </c>
      <c r="FN7" s="1"/>
      <c r="FO7" s="1"/>
      <c r="FP7" s="1"/>
      <c r="FQ7" s="1"/>
      <c r="FR7" s="76"/>
      <c r="FS7" s="79"/>
      <c r="FT7" s="79"/>
      <c r="FU7" s="77" t="s">
        <v>5</v>
      </c>
      <c r="FV7" s="86" t="s">
        <v>73</v>
      </c>
      <c r="FW7" s="82"/>
      <c r="FX7" s="82"/>
      <c r="FY7" s="82"/>
      <c r="FZ7" s="82"/>
      <c r="GA7" s="1" t="s">
        <v>49</v>
      </c>
      <c r="GB7" s="1"/>
      <c r="GC7" s="1"/>
      <c r="GD7" s="1"/>
      <c r="GE7" s="1"/>
      <c r="GF7" s="76"/>
      <c r="GG7" s="79"/>
      <c r="GH7" s="79"/>
      <c r="GI7" s="77" t="s">
        <v>5</v>
      </c>
      <c r="GJ7" s="86" t="s">
        <v>73</v>
      </c>
      <c r="GK7" s="82"/>
      <c r="GL7" s="82"/>
      <c r="GM7" s="82"/>
      <c r="GN7" s="82"/>
      <c r="GO7" s="1" t="s">
        <v>49</v>
      </c>
      <c r="GP7" s="1"/>
      <c r="GQ7" s="1"/>
      <c r="GR7" s="1"/>
      <c r="GS7" s="1"/>
      <c r="GT7" s="76"/>
      <c r="GU7" s="79"/>
      <c r="GV7" s="79"/>
      <c r="GW7" s="77" t="s">
        <v>5</v>
      </c>
      <c r="GX7" s="86" t="s">
        <v>73</v>
      </c>
      <c r="GY7" s="82"/>
      <c r="GZ7" s="82"/>
      <c r="HA7" s="82"/>
      <c r="HB7" s="82"/>
      <c r="HC7" s="1" t="s">
        <v>49</v>
      </c>
      <c r="HD7" s="1"/>
      <c r="HE7" s="1"/>
      <c r="HF7" s="1"/>
      <c r="HG7" s="1"/>
      <c r="HH7" s="76"/>
      <c r="HI7" s="79"/>
      <c r="HJ7" s="79"/>
      <c r="HK7" s="77" t="s">
        <v>5</v>
      </c>
      <c r="HL7" s="85" t="s">
        <v>73</v>
      </c>
      <c r="HM7" s="82"/>
      <c r="HN7" s="82"/>
      <c r="HO7" s="82"/>
      <c r="HP7" s="82"/>
      <c r="HQ7" s="1" t="s">
        <v>49</v>
      </c>
      <c r="HR7" s="1"/>
      <c r="HS7" s="1"/>
      <c r="HT7" s="1"/>
      <c r="HU7" s="1"/>
      <c r="HV7" s="76"/>
      <c r="HW7" s="79"/>
      <c r="HX7" s="79"/>
      <c r="HY7" s="77" t="s">
        <v>5</v>
      </c>
      <c r="HZ7" s="85" t="s">
        <v>73</v>
      </c>
      <c r="IA7" s="82"/>
      <c r="IB7" s="82"/>
      <c r="IC7" s="82"/>
      <c r="ID7" s="82"/>
      <c r="IE7" s="1" t="s">
        <v>49</v>
      </c>
      <c r="IF7" s="1"/>
      <c r="IG7" s="1"/>
      <c r="IH7" s="1"/>
      <c r="II7" s="1"/>
      <c r="IJ7" s="76"/>
      <c r="IK7" s="79"/>
      <c r="IL7" s="79"/>
      <c r="IM7" s="77" t="s">
        <v>5</v>
      </c>
      <c r="IN7" s="85" t="s">
        <v>73</v>
      </c>
      <c r="IO7" s="82"/>
      <c r="IP7" s="82"/>
      <c r="IQ7" s="82"/>
      <c r="IR7" s="82"/>
      <c r="IS7" s="1" t="s">
        <v>49</v>
      </c>
      <c r="IT7" s="1"/>
      <c r="IU7" s="1"/>
      <c r="IV7" s="1"/>
      <c r="IW7" s="1"/>
      <c r="IX7" s="76"/>
      <c r="IY7" s="79"/>
      <c r="IZ7" s="79"/>
      <c r="JA7" s="77" t="s">
        <v>5</v>
      </c>
      <c r="JB7" s="85" t="s">
        <v>73</v>
      </c>
      <c r="JC7" s="82"/>
      <c r="JD7" s="82"/>
      <c r="JE7" s="82"/>
      <c r="JF7" s="82"/>
      <c r="JG7" s="1" t="s">
        <v>49</v>
      </c>
      <c r="JH7" s="1"/>
      <c r="JI7" s="1"/>
      <c r="JJ7" s="1"/>
      <c r="JK7" s="1"/>
      <c r="JL7" s="76"/>
      <c r="JM7" s="79"/>
      <c r="JN7" s="79"/>
      <c r="JO7" s="77" t="s">
        <v>5</v>
      </c>
      <c r="JP7" s="85" t="s">
        <v>73</v>
      </c>
      <c r="JQ7" s="82"/>
      <c r="JR7" s="82"/>
      <c r="JS7" s="82"/>
      <c r="JT7" s="82"/>
      <c r="JU7" s="1" t="s">
        <v>49</v>
      </c>
      <c r="JV7" s="1"/>
      <c r="JW7" s="1"/>
      <c r="JX7" s="1"/>
      <c r="JY7" s="1"/>
      <c r="JZ7" s="76"/>
      <c r="KA7" s="79"/>
      <c r="KB7" s="79"/>
      <c r="KC7" s="77" t="s">
        <v>5</v>
      </c>
      <c r="KD7" s="85" t="s">
        <v>73</v>
      </c>
      <c r="KE7" s="82"/>
      <c r="KF7" s="82"/>
      <c r="KG7" s="82"/>
      <c r="KH7" s="82"/>
      <c r="KI7" s="1" t="s">
        <v>49</v>
      </c>
      <c r="KJ7" s="1"/>
      <c r="KK7" s="1"/>
      <c r="KL7" s="1"/>
      <c r="KM7" s="1"/>
      <c r="KN7" s="76"/>
      <c r="KO7" s="79"/>
      <c r="KP7" s="79"/>
      <c r="KQ7" s="77" t="s">
        <v>5</v>
      </c>
      <c r="KR7" s="85" t="s">
        <v>73</v>
      </c>
      <c r="KS7" s="82"/>
      <c r="KT7" s="82"/>
      <c r="KU7" s="82"/>
      <c r="KV7" s="82"/>
      <c r="KW7" s="1" t="s">
        <v>49</v>
      </c>
      <c r="KX7" s="1"/>
      <c r="KY7" s="1"/>
      <c r="KZ7" s="1"/>
      <c r="LA7" s="1"/>
      <c r="LB7" s="76"/>
      <c r="LC7" s="79"/>
      <c r="LD7" s="79"/>
      <c r="LE7" s="77" t="s">
        <v>5</v>
      </c>
      <c r="LF7" s="85" t="s">
        <v>73</v>
      </c>
      <c r="LG7" s="82"/>
      <c r="LH7" s="82"/>
      <c r="LI7" s="82"/>
      <c r="LJ7" s="82"/>
      <c r="LK7" s="1" t="s">
        <v>49</v>
      </c>
      <c r="LL7" s="1"/>
      <c r="LM7" s="1"/>
      <c r="LN7" s="1"/>
      <c r="LO7" s="1"/>
      <c r="LP7" s="76"/>
      <c r="LQ7" s="79"/>
      <c r="LR7" s="79"/>
      <c r="LS7" s="77" t="s">
        <v>5</v>
      </c>
      <c r="LT7" s="85" t="s">
        <v>73</v>
      </c>
      <c r="LU7" s="82"/>
      <c r="LV7" s="82"/>
      <c r="LW7" s="82"/>
      <c r="LX7" s="82"/>
      <c r="LY7" s="1" t="s">
        <v>49</v>
      </c>
      <c r="LZ7" s="1"/>
      <c r="MA7" s="1"/>
      <c r="MB7" s="1"/>
      <c r="MC7" s="1"/>
      <c r="MD7" s="76"/>
      <c r="ME7" s="79"/>
      <c r="MF7" s="79"/>
      <c r="MG7" s="77" t="s">
        <v>5</v>
      </c>
      <c r="MH7" s="85" t="s">
        <v>73</v>
      </c>
      <c r="MI7" s="82"/>
      <c r="MJ7" s="82"/>
      <c r="MK7" s="82"/>
      <c r="ML7" s="82"/>
      <c r="MM7" s="1" t="s">
        <v>49</v>
      </c>
      <c r="MN7" s="1"/>
      <c r="MO7" s="1"/>
      <c r="MP7" s="1"/>
      <c r="MQ7" s="1"/>
      <c r="MR7" s="76"/>
      <c r="MS7" s="79"/>
      <c r="MT7" s="79"/>
      <c r="MU7" s="77" t="s">
        <v>5</v>
      </c>
      <c r="MV7" s="85" t="s">
        <v>73</v>
      </c>
      <c r="MW7" s="82"/>
      <c r="MX7" s="82"/>
      <c r="MY7" s="82"/>
      <c r="MZ7" s="82"/>
      <c r="NA7" s="1" t="s">
        <v>49</v>
      </c>
      <c r="NB7" s="1"/>
      <c r="NC7" s="1"/>
      <c r="ND7" s="1"/>
      <c r="NE7" s="1"/>
      <c r="NF7" s="76"/>
      <c r="NG7" s="79"/>
      <c r="NH7" s="79"/>
      <c r="NI7" s="77" t="s">
        <v>5</v>
      </c>
      <c r="NJ7" s="85" t="s">
        <v>73</v>
      </c>
      <c r="NK7" s="82"/>
      <c r="NL7" s="82"/>
      <c r="NM7" s="82"/>
      <c r="NN7" s="82"/>
      <c r="NO7" s="1" t="s">
        <v>49</v>
      </c>
      <c r="NP7" s="1"/>
      <c r="NQ7" s="1"/>
      <c r="NR7" s="1"/>
      <c r="NS7" s="1"/>
      <c r="NT7" s="76"/>
      <c r="NU7" s="79"/>
      <c r="NV7" s="79"/>
      <c r="NW7" s="77" t="s">
        <v>5</v>
      </c>
      <c r="NX7" s="85" t="s">
        <v>73</v>
      </c>
      <c r="NY7" s="82"/>
      <c r="NZ7" s="82"/>
      <c r="OA7" s="82"/>
      <c r="OB7" s="82"/>
      <c r="OC7" s="1" t="s">
        <v>49</v>
      </c>
      <c r="OD7" s="1"/>
      <c r="OE7" s="1"/>
      <c r="OF7" s="1"/>
      <c r="OG7" s="1"/>
      <c r="OH7" s="76"/>
      <c r="OI7" s="79"/>
      <c r="OJ7" s="79"/>
      <c r="OK7" s="77" t="s">
        <v>5</v>
      </c>
      <c r="OL7" s="85" t="s">
        <v>73</v>
      </c>
      <c r="OM7" s="82"/>
      <c r="ON7" s="82"/>
      <c r="OO7" s="82"/>
      <c r="OP7" s="82"/>
      <c r="OQ7" s="1" t="s">
        <v>49</v>
      </c>
      <c r="OR7" s="1"/>
      <c r="OS7" s="1"/>
      <c r="OT7" s="1"/>
      <c r="OU7" s="1"/>
      <c r="OV7" s="76"/>
      <c r="OW7" s="79"/>
      <c r="OX7" s="79"/>
      <c r="OY7" s="77" t="s">
        <v>5</v>
      </c>
      <c r="OZ7" s="85" t="s">
        <v>73</v>
      </c>
      <c r="PA7" s="82"/>
      <c r="PB7" s="82"/>
      <c r="PC7" s="82"/>
      <c r="PD7" s="82"/>
      <c r="PE7" s="1" t="s">
        <v>49</v>
      </c>
      <c r="PF7" s="1"/>
      <c r="PG7" s="1"/>
      <c r="PH7" s="1"/>
      <c r="PI7" s="1"/>
      <c r="PJ7" s="76"/>
      <c r="PK7" s="79"/>
      <c r="PL7" s="79"/>
      <c r="PM7" s="77" t="s">
        <v>5</v>
      </c>
      <c r="PN7" s="85" t="s">
        <v>73</v>
      </c>
      <c r="PO7" s="82"/>
      <c r="PP7" s="82"/>
      <c r="PQ7" s="82"/>
      <c r="PR7" s="82"/>
      <c r="PS7" s="1" t="s">
        <v>49</v>
      </c>
      <c r="PT7" s="1"/>
      <c r="PU7" s="1"/>
      <c r="PV7" s="1"/>
      <c r="PW7" s="1"/>
      <c r="PX7" s="76"/>
      <c r="PY7" s="79"/>
      <c r="PZ7" s="79"/>
      <c r="QA7" s="77" t="s">
        <v>5</v>
      </c>
      <c r="QB7" s="85" t="s">
        <v>73</v>
      </c>
      <c r="QC7" s="82"/>
      <c r="QD7" s="82"/>
      <c r="QE7" s="82"/>
      <c r="QF7" s="82"/>
      <c r="QG7" s="76"/>
      <c r="QH7" s="76"/>
      <c r="QI7" s="76"/>
      <c r="QJ7" s="76"/>
      <c r="QK7" s="76"/>
      <c r="QL7" s="75"/>
      <c r="QM7" s="75"/>
      <c r="QN7" s="75"/>
      <c r="QO7" s="75"/>
      <c r="QP7" s="75"/>
      <c r="QQ7" s="76"/>
      <c r="QR7" s="76"/>
      <c r="QS7" s="76"/>
      <c r="QT7" s="76"/>
      <c r="QU7" s="76"/>
    </row>
    <row r="8" spans="1:463" ht="36.6">
      <c r="A8" s="1" t="s">
        <v>71</v>
      </c>
      <c r="B8" s="1"/>
      <c r="C8" s="1"/>
      <c r="D8" s="1"/>
      <c r="E8" s="1"/>
      <c r="F8" s="76"/>
      <c r="G8" s="1"/>
      <c r="H8" s="1"/>
      <c r="I8" s="76" t="s">
        <v>5</v>
      </c>
      <c r="J8" s="82" t="str">
        <f>+Main!H3</f>
        <v>PF</v>
      </c>
      <c r="K8" s="83" t="s">
        <v>15</v>
      </c>
      <c r="L8" s="83" t="str">
        <f>+Main!I3</f>
        <v>E1</v>
      </c>
      <c r="M8" s="82"/>
      <c r="N8" s="82"/>
      <c r="O8" s="1" t="s">
        <v>71</v>
      </c>
      <c r="P8" s="1"/>
      <c r="Q8" s="1"/>
      <c r="R8" s="1"/>
      <c r="S8" s="1"/>
      <c r="T8" s="76"/>
      <c r="U8" s="1"/>
      <c r="V8" s="1"/>
      <c r="W8" s="76" t="s">
        <v>5</v>
      </c>
      <c r="X8" s="84" t="str">
        <f>+Main!H4</f>
        <v>PF</v>
      </c>
      <c r="Y8" s="83" t="s">
        <v>15</v>
      </c>
      <c r="Z8" s="83" t="str">
        <f>+Main!I4</f>
        <v>E1</v>
      </c>
      <c r="AA8" s="82"/>
      <c r="AB8" s="82"/>
      <c r="AC8" s="1" t="s">
        <v>71</v>
      </c>
      <c r="AD8" s="1"/>
      <c r="AE8" s="1"/>
      <c r="AF8" s="1"/>
      <c r="AG8" s="1"/>
      <c r="AH8" s="76"/>
      <c r="AI8" s="1"/>
      <c r="AJ8" s="1"/>
      <c r="AK8" s="76" t="s">
        <v>5</v>
      </c>
      <c r="AL8" s="84" t="str">
        <f>+Main!H5</f>
        <v>PF</v>
      </c>
      <c r="AM8" s="83" t="s">
        <v>15</v>
      </c>
      <c r="AN8" s="83" t="str">
        <f>+Main!I5</f>
        <v>E1</v>
      </c>
      <c r="AO8" s="82"/>
      <c r="AP8" s="82"/>
      <c r="AQ8" s="1" t="s">
        <v>71</v>
      </c>
      <c r="AR8" s="1"/>
      <c r="AS8" s="1"/>
      <c r="AT8" s="1"/>
      <c r="AU8" s="1"/>
      <c r="AV8" s="76"/>
      <c r="AW8" s="1"/>
      <c r="AX8" s="1"/>
      <c r="AY8" s="76" t="s">
        <v>5</v>
      </c>
      <c r="AZ8" s="84" t="str">
        <f>+Main!H5</f>
        <v>PF</v>
      </c>
      <c r="BA8" s="83" t="s">
        <v>15</v>
      </c>
      <c r="BB8" s="83" t="str">
        <f>+Main!I5</f>
        <v>E1</v>
      </c>
      <c r="BC8" s="82"/>
      <c r="BD8" s="82"/>
      <c r="BE8" s="1" t="s">
        <v>71</v>
      </c>
      <c r="BF8" s="1"/>
      <c r="BG8" s="1"/>
      <c r="BH8" s="1"/>
      <c r="BI8" s="1"/>
      <c r="BJ8" s="76"/>
      <c r="BK8" s="1"/>
      <c r="BL8" s="1"/>
      <c r="BM8" s="76" t="s">
        <v>5</v>
      </c>
      <c r="BN8" s="84" t="str">
        <f>+Main!H7</f>
        <v>PF</v>
      </c>
      <c r="BO8" s="83" t="s">
        <v>15</v>
      </c>
      <c r="BP8" s="83" t="str">
        <f>+Main!I7</f>
        <v>E1</v>
      </c>
      <c r="BQ8" s="82"/>
      <c r="BR8" s="82"/>
      <c r="BS8" s="1" t="s">
        <v>71</v>
      </c>
      <c r="BT8" s="1"/>
      <c r="BU8" s="1"/>
      <c r="BV8" s="1"/>
      <c r="BW8" s="1"/>
      <c r="BX8" s="76"/>
      <c r="BY8" s="1"/>
      <c r="BZ8" s="1"/>
      <c r="CA8" s="76" t="s">
        <v>5</v>
      </c>
      <c r="CB8" s="84" t="str">
        <f>+Main!H8</f>
        <v>PF</v>
      </c>
      <c r="CC8" s="83" t="s">
        <v>15</v>
      </c>
      <c r="CD8" s="83" t="str">
        <f>+Main!I8</f>
        <v>E1</v>
      </c>
      <c r="CE8" s="82"/>
      <c r="CF8" s="82"/>
      <c r="CG8" s="1" t="s">
        <v>71</v>
      </c>
      <c r="CH8" s="1"/>
      <c r="CI8" s="1"/>
      <c r="CJ8" s="1"/>
      <c r="CK8" s="1"/>
      <c r="CL8" s="76"/>
      <c r="CM8" s="1"/>
      <c r="CN8" s="1"/>
      <c r="CO8" s="76" t="s">
        <v>5</v>
      </c>
      <c r="CP8" s="84" t="str">
        <f>+Main!H9</f>
        <v>PF</v>
      </c>
      <c r="CQ8" s="83" t="s">
        <v>15</v>
      </c>
      <c r="CR8" s="83" t="str">
        <f>+Main!I9</f>
        <v>E1</v>
      </c>
      <c r="CS8" s="82"/>
      <c r="CT8" s="82"/>
      <c r="CU8" s="1" t="s">
        <v>71</v>
      </c>
      <c r="CV8" s="1"/>
      <c r="CW8" s="1"/>
      <c r="CX8" s="1"/>
      <c r="CY8" s="1"/>
      <c r="CZ8" s="76"/>
      <c r="DA8" s="1"/>
      <c r="DB8" s="1"/>
      <c r="DC8" s="76" t="s">
        <v>5</v>
      </c>
      <c r="DD8" s="84" t="str">
        <f>+Main!H10</f>
        <v>PF</v>
      </c>
      <c r="DE8" s="83" t="s">
        <v>15</v>
      </c>
      <c r="DF8" s="83" t="str">
        <f>+Main!I10</f>
        <v>E1</v>
      </c>
      <c r="DG8" s="82"/>
      <c r="DH8" s="82"/>
      <c r="DI8" s="1" t="s">
        <v>71</v>
      </c>
      <c r="DJ8" s="1"/>
      <c r="DK8" s="1"/>
      <c r="DL8" s="1"/>
      <c r="DM8" s="1"/>
      <c r="DN8" s="76"/>
      <c r="DO8" s="1"/>
      <c r="DP8" s="1"/>
      <c r="DQ8" s="76" t="s">
        <v>5</v>
      </c>
      <c r="DR8" s="84" t="str">
        <f>+Main!H11</f>
        <v>PF</v>
      </c>
      <c r="DS8" s="83" t="s">
        <v>15</v>
      </c>
      <c r="DT8" s="83" t="str">
        <f>+Main!I11</f>
        <v>E1</v>
      </c>
      <c r="DU8" s="82"/>
      <c r="DV8" s="82"/>
      <c r="DW8" s="1" t="s">
        <v>71</v>
      </c>
      <c r="DX8" s="1"/>
      <c r="DY8" s="1"/>
      <c r="DZ8" s="1"/>
      <c r="EA8" s="1"/>
      <c r="EB8" s="76"/>
      <c r="EC8" s="1"/>
      <c r="ED8" s="1"/>
      <c r="EE8" s="76" t="s">
        <v>5</v>
      </c>
      <c r="EF8" s="84" t="str">
        <f>+Main!H12</f>
        <v>PF</v>
      </c>
      <c r="EG8" s="83" t="s">
        <v>15</v>
      </c>
      <c r="EH8" s="83" t="str">
        <f>+Main!I12</f>
        <v>E1</v>
      </c>
      <c r="EI8" s="82"/>
      <c r="EJ8" s="82"/>
      <c r="EK8" s="1" t="s">
        <v>71</v>
      </c>
      <c r="EL8" s="1"/>
      <c r="EM8" s="1"/>
      <c r="EN8" s="1"/>
      <c r="EO8" s="1"/>
      <c r="EP8" s="76"/>
      <c r="EQ8" s="1"/>
      <c r="ER8" s="1"/>
      <c r="ES8" s="76" t="s">
        <v>5</v>
      </c>
      <c r="ET8" s="84" t="str">
        <f>+Main!H13</f>
        <v>PF</v>
      </c>
      <c r="EU8" s="83" t="s">
        <v>15</v>
      </c>
      <c r="EV8" s="83" t="str">
        <f>+Main!I13</f>
        <v>E1</v>
      </c>
      <c r="EW8" s="82"/>
      <c r="EX8" s="82"/>
      <c r="EY8" s="1" t="s">
        <v>71</v>
      </c>
      <c r="EZ8" s="1"/>
      <c r="FA8" s="1"/>
      <c r="FB8" s="1"/>
      <c r="FC8" s="1"/>
      <c r="FD8" s="76"/>
      <c r="FE8" s="1"/>
      <c r="FF8" s="1"/>
      <c r="FG8" s="76" t="s">
        <v>5</v>
      </c>
      <c r="FH8" s="84" t="str">
        <f>+Main!H14</f>
        <v>PF</v>
      </c>
      <c r="FI8" s="83" t="s">
        <v>15</v>
      </c>
      <c r="FJ8" s="83" t="str">
        <f>+Main!I14</f>
        <v>E1</v>
      </c>
      <c r="FK8" s="82"/>
      <c r="FL8" s="82"/>
      <c r="FM8" s="1" t="s">
        <v>71</v>
      </c>
      <c r="FN8" s="1"/>
      <c r="FO8" s="1"/>
      <c r="FP8" s="1"/>
      <c r="FQ8" s="1"/>
      <c r="FR8" s="76"/>
      <c r="FS8" s="1"/>
      <c r="FT8" s="1"/>
      <c r="FU8" s="76" t="s">
        <v>5</v>
      </c>
      <c r="FV8" s="84" t="str">
        <f>+Main!H15</f>
        <v>PF</v>
      </c>
      <c r="FW8" s="83" t="s">
        <v>15</v>
      </c>
      <c r="FX8" s="83" t="str">
        <f>+Main!I15</f>
        <v>E1</v>
      </c>
      <c r="FY8" s="82"/>
      <c r="FZ8" s="82"/>
      <c r="GA8" s="1" t="s">
        <v>71</v>
      </c>
      <c r="GB8" s="1"/>
      <c r="GC8" s="1"/>
      <c r="GD8" s="1"/>
      <c r="GE8" s="1"/>
      <c r="GF8" s="76"/>
      <c r="GG8" s="1"/>
      <c r="GH8" s="1"/>
      <c r="GI8" s="76" t="s">
        <v>5</v>
      </c>
      <c r="GJ8" s="84" t="str">
        <f>+Main!H16</f>
        <v>PF</v>
      </c>
      <c r="GK8" s="83" t="s">
        <v>15</v>
      </c>
      <c r="GL8" s="83" t="str">
        <f>+Main!I16</f>
        <v>E1</v>
      </c>
      <c r="GM8" s="82"/>
      <c r="GN8" s="82"/>
      <c r="GO8" s="1" t="s">
        <v>71</v>
      </c>
      <c r="GP8" s="1"/>
      <c r="GQ8" s="1"/>
      <c r="GR8" s="1"/>
      <c r="GS8" s="1"/>
      <c r="GT8" s="76"/>
      <c r="GU8" s="1"/>
      <c r="GV8" s="1"/>
      <c r="GW8" s="76" t="s">
        <v>5</v>
      </c>
      <c r="GX8" s="84" t="str">
        <f>+Main!H17</f>
        <v>PF</v>
      </c>
      <c r="GY8" s="83" t="s">
        <v>15</v>
      </c>
      <c r="GZ8" s="83" t="str">
        <f>+Main!I17</f>
        <v>E1</v>
      </c>
      <c r="HA8" s="82"/>
      <c r="HB8" s="82"/>
      <c r="HC8" s="1" t="s">
        <v>71</v>
      </c>
      <c r="HD8" s="1"/>
      <c r="HE8" s="1"/>
      <c r="HF8" s="1"/>
      <c r="HG8" s="1"/>
      <c r="HH8" s="76"/>
      <c r="HI8" s="1"/>
      <c r="HJ8" s="1"/>
      <c r="HK8" s="76" t="s">
        <v>5</v>
      </c>
      <c r="HL8" s="82" t="str">
        <f>+Main!H18</f>
        <v>PF</v>
      </c>
      <c r="HM8" s="83" t="s">
        <v>15</v>
      </c>
      <c r="HN8" s="83" t="str">
        <f>+Main!I18</f>
        <v>E1</v>
      </c>
      <c r="HO8" s="82"/>
      <c r="HP8" s="82"/>
      <c r="HQ8" s="1" t="s">
        <v>71</v>
      </c>
      <c r="HR8" s="1"/>
      <c r="HS8" s="1"/>
      <c r="HT8" s="1"/>
      <c r="HU8" s="1"/>
      <c r="HV8" s="76"/>
      <c r="HW8" s="1"/>
      <c r="HX8" s="1"/>
      <c r="HY8" s="76" t="s">
        <v>5</v>
      </c>
      <c r="HZ8" s="82">
        <f>+Main!H19</f>
        <v>0</v>
      </c>
      <c r="IA8" s="83" t="s">
        <v>15</v>
      </c>
      <c r="IB8" s="83">
        <f>+Main!I19</f>
        <v>0</v>
      </c>
      <c r="IC8" s="82"/>
      <c r="ID8" s="82"/>
      <c r="IE8" s="1" t="s">
        <v>71</v>
      </c>
      <c r="IF8" s="1"/>
      <c r="IG8" s="1"/>
      <c r="IH8" s="1"/>
      <c r="II8" s="1"/>
      <c r="IJ8" s="76"/>
      <c r="IK8" s="1"/>
      <c r="IL8" s="1"/>
      <c r="IM8" s="76" t="s">
        <v>5</v>
      </c>
      <c r="IN8" s="82">
        <f>+Main!H20</f>
        <v>0</v>
      </c>
      <c r="IO8" s="83" t="s">
        <v>15</v>
      </c>
      <c r="IP8" s="83">
        <f>+Main!I20</f>
        <v>0</v>
      </c>
      <c r="IQ8" s="82"/>
      <c r="IR8" s="82"/>
      <c r="IS8" s="1" t="s">
        <v>71</v>
      </c>
      <c r="IT8" s="1"/>
      <c r="IU8" s="1"/>
      <c r="IV8" s="1"/>
      <c r="IW8" s="1"/>
      <c r="IX8" s="76"/>
      <c r="IY8" s="1"/>
      <c r="IZ8" s="1"/>
      <c r="JA8" s="76" t="s">
        <v>5</v>
      </c>
      <c r="JB8" s="82">
        <f>+Main!H21</f>
        <v>0</v>
      </c>
      <c r="JC8" s="83" t="s">
        <v>15</v>
      </c>
      <c r="JD8" s="83">
        <f>+Main!I21</f>
        <v>0</v>
      </c>
      <c r="JE8" s="82"/>
      <c r="JF8" s="82"/>
      <c r="JG8" s="1" t="s">
        <v>71</v>
      </c>
      <c r="JH8" s="1"/>
      <c r="JI8" s="1"/>
      <c r="JJ8" s="1"/>
      <c r="JK8" s="1"/>
      <c r="JL8" s="76"/>
      <c r="JM8" s="1"/>
      <c r="JN8" s="1"/>
      <c r="JO8" s="76" t="s">
        <v>5</v>
      </c>
      <c r="JP8" s="82">
        <f>+Main!H22</f>
        <v>0</v>
      </c>
      <c r="JQ8" s="83" t="s">
        <v>15</v>
      </c>
      <c r="JR8" s="83">
        <f>+Main!I22</f>
        <v>0</v>
      </c>
      <c r="JS8" s="82"/>
      <c r="JT8" s="82"/>
      <c r="JU8" s="1" t="s">
        <v>71</v>
      </c>
      <c r="JV8" s="1"/>
      <c r="JW8" s="1"/>
      <c r="JX8" s="1"/>
      <c r="JY8" s="1"/>
      <c r="JZ8" s="76"/>
      <c r="KA8" s="1"/>
      <c r="KB8" s="1"/>
      <c r="KC8" s="76" t="s">
        <v>5</v>
      </c>
      <c r="KD8" s="82">
        <f>+Main!H23</f>
        <v>0</v>
      </c>
      <c r="KE8" s="83" t="s">
        <v>15</v>
      </c>
      <c r="KF8" s="83">
        <f>+Main!I23</f>
        <v>0</v>
      </c>
      <c r="KG8" s="82"/>
      <c r="KH8" s="82"/>
      <c r="KI8" s="1" t="s">
        <v>71</v>
      </c>
      <c r="KJ8" s="1"/>
      <c r="KK8" s="1"/>
      <c r="KL8" s="1"/>
      <c r="KM8" s="1"/>
      <c r="KN8" s="76"/>
      <c r="KO8" s="1"/>
      <c r="KP8" s="1"/>
      <c r="KQ8" s="76" t="s">
        <v>5</v>
      </c>
      <c r="KR8" s="82">
        <f>+Main!H24</f>
        <v>0</v>
      </c>
      <c r="KS8" s="83" t="s">
        <v>15</v>
      </c>
      <c r="KT8" s="83">
        <f>+Main!I24</f>
        <v>0</v>
      </c>
      <c r="KU8" s="82"/>
      <c r="KV8" s="82"/>
      <c r="KW8" s="1" t="s">
        <v>71</v>
      </c>
      <c r="KX8" s="1"/>
      <c r="KY8" s="1"/>
      <c r="KZ8" s="1"/>
      <c r="LA8" s="1"/>
      <c r="LB8" s="76"/>
      <c r="LC8" s="1"/>
      <c r="LD8" s="1"/>
      <c r="LE8" s="76" t="s">
        <v>5</v>
      </c>
      <c r="LF8" s="82">
        <f>+Main!H25</f>
        <v>0</v>
      </c>
      <c r="LG8" s="83" t="s">
        <v>15</v>
      </c>
      <c r="LH8" s="83">
        <f>+Main!I25</f>
        <v>0</v>
      </c>
      <c r="LI8" s="82"/>
      <c r="LJ8" s="82"/>
      <c r="LK8" s="1" t="s">
        <v>71</v>
      </c>
      <c r="LL8" s="1"/>
      <c r="LM8" s="1"/>
      <c r="LN8" s="1"/>
      <c r="LO8" s="1"/>
      <c r="LP8" s="76"/>
      <c r="LQ8" s="1"/>
      <c r="LR8" s="1"/>
      <c r="LS8" s="76" t="s">
        <v>5</v>
      </c>
      <c r="LT8" s="82">
        <f>+Main!H26</f>
        <v>0</v>
      </c>
      <c r="LU8" s="83" t="s">
        <v>15</v>
      </c>
      <c r="LV8" s="83">
        <f>+Main!I26</f>
        <v>0</v>
      </c>
      <c r="LW8" s="82"/>
      <c r="LX8" s="82"/>
      <c r="LY8" s="1" t="s">
        <v>71</v>
      </c>
      <c r="LZ8" s="1"/>
      <c r="MA8" s="1"/>
      <c r="MB8" s="1"/>
      <c r="MC8" s="1"/>
      <c r="MD8" s="76"/>
      <c r="ME8" s="1"/>
      <c r="MF8" s="1"/>
      <c r="MG8" s="76" t="s">
        <v>5</v>
      </c>
      <c r="MH8" s="82" t="str">
        <f>+Main!H17</f>
        <v>PF</v>
      </c>
      <c r="MI8" s="83" t="s">
        <v>15</v>
      </c>
      <c r="MJ8" s="83">
        <f>+Main!I27</f>
        <v>0</v>
      </c>
      <c r="MK8" s="82"/>
      <c r="ML8" s="82"/>
      <c r="MM8" s="1" t="s">
        <v>71</v>
      </c>
      <c r="MN8" s="1"/>
      <c r="MO8" s="1"/>
      <c r="MP8" s="1"/>
      <c r="MQ8" s="1"/>
      <c r="MR8" s="76"/>
      <c r="MS8" s="1"/>
      <c r="MT8" s="1"/>
      <c r="MU8" s="76" t="s">
        <v>5</v>
      </c>
      <c r="MV8" s="82">
        <f>+Main!H28</f>
        <v>0</v>
      </c>
      <c r="MW8" s="83" t="s">
        <v>15</v>
      </c>
      <c r="MX8" s="83">
        <f>+Main!I28</f>
        <v>0</v>
      </c>
      <c r="MY8" s="82"/>
      <c r="MZ8" s="82"/>
      <c r="NA8" s="1" t="s">
        <v>71</v>
      </c>
      <c r="NB8" s="1"/>
      <c r="NC8" s="1"/>
      <c r="ND8" s="1"/>
      <c r="NE8" s="1"/>
      <c r="NF8" s="76"/>
      <c r="NG8" s="1"/>
      <c r="NH8" s="1"/>
      <c r="NI8" s="76" t="s">
        <v>5</v>
      </c>
      <c r="NJ8" s="82">
        <f>+Main!H29</f>
        <v>0</v>
      </c>
      <c r="NK8" s="83" t="s">
        <v>15</v>
      </c>
      <c r="NL8" s="83">
        <f>+Main!I29</f>
        <v>0</v>
      </c>
      <c r="NM8" s="82"/>
      <c r="NN8" s="82"/>
      <c r="NO8" s="1" t="s">
        <v>71</v>
      </c>
      <c r="NP8" s="1"/>
      <c r="NQ8" s="1"/>
      <c r="NR8" s="1"/>
      <c r="NS8" s="1"/>
      <c r="NT8" s="76"/>
      <c r="NU8" s="1"/>
      <c r="NV8" s="1"/>
      <c r="NW8" s="76" t="s">
        <v>5</v>
      </c>
      <c r="NX8" s="82">
        <f>+Main!H30</f>
        <v>0</v>
      </c>
      <c r="NY8" s="83" t="s">
        <v>15</v>
      </c>
      <c r="NZ8" s="83">
        <f>+Main!I30</f>
        <v>0</v>
      </c>
      <c r="OA8" s="82"/>
      <c r="OB8" s="82"/>
      <c r="OC8" s="1" t="s">
        <v>71</v>
      </c>
      <c r="OD8" s="1"/>
      <c r="OE8" s="1"/>
      <c r="OF8" s="1"/>
      <c r="OG8" s="1"/>
      <c r="OH8" s="76"/>
      <c r="OI8" s="1"/>
      <c r="OJ8" s="1"/>
      <c r="OK8" s="76" t="s">
        <v>5</v>
      </c>
      <c r="OL8" s="82">
        <f>+Main!H31</f>
        <v>0</v>
      </c>
      <c r="OM8" s="83" t="s">
        <v>15</v>
      </c>
      <c r="ON8" s="83">
        <f>+Main!I31</f>
        <v>0</v>
      </c>
      <c r="OO8" s="82"/>
      <c r="OP8" s="82"/>
      <c r="OQ8" s="1" t="s">
        <v>71</v>
      </c>
      <c r="OR8" s="1"/>
      <c r="OS8" s="1"/>
      <c r="OT8" s="1"/>
      <c r="OU8" s="1"/>
      <c r="OV8" s="76"/>
      <c r="OW8" s="1"/>
      <c r="OX8" s="1"/>
      <c r="OY8" s="76" t="s">
        <v>5</v>
      </c>
      <c r="OZ8" s="82">
        <f>+Main!H32</f>
        <v>0</v>
      </c>
      <c r="PA8" s="83" t="s">
        <v>15</v>
      </c>
      <c r="PB8" s="83">
        <f>+Main!I32</f>
        <v>0</v>
      </c>
      <c r="PC8" s="82"/>
      <c r="PD8" s="82"/>
      <c r="PE8" s="1" t="s">
        <v>71</v>
      </c>
      <c r="PF8" s="1"/>
      <c r="PG8" s="1"/>
      <c r="PH8" s="1"/>
      <c r="PI8" s="1"/>
      <c r="PJ8" s="76"/>
      <c r="PK8" s="1"/>
      <c r="PL8" s="1"/>
      <c r="PM8" s="76" t="s">
        <v>5</v>
      </c>
      <c r="PN8" s="82">
        <f>+Main!H33</f>
        <v>0</v>
      </c>
      <c r="PO8" s="83" t="s">
        <v>15</v>
      </c>
      <c r="PP8" s="83">
        <f>+Main!I33</f>
        <v>0</v>
      </c>
      <c r="PQ8" s="82"/>
      <c r="PR8" s="82"/>
      <c r="PS8" s="1" t="s">
        <v>71</v>
      </c>
      <c r="PT8" s="1"/>
      <c r="PU8" s="1"/>
      <c r="PV8" s="1"/>
      <c r="PW8" s="1"/>
      <c r="PX8" s="76"/>
      <c r="PY8" s="1"/>
      <c r="PZ8" s="1"/>
      <c r="QA8" s="76" t="s">
        <v>5</v>
      </c>
      <c r="QB8" s="82">
        <f>+Main!H34</f>
        <v>0</v>
      </c>
      <c r="QC8" s="83" t="s">
        <v>15</v>
      </c>
      <c r="QD8" s="83">
        <f>+Main!I34</f>
        <v>0</v>
      </c>
      <c r="QE8" s="82"/>
      <c r="QF8" s="82"/>
      <c r="QG8" s="76"/>
      <c r="QH8" s="1"/>
      <c r="QI8" s="1"/>
      <c r="QJ8" s="1"/>
      <c r="QK8" s="1"/>
      <c r="QL8" s="1"/>
      <c r="QM8" s="1"/>
      <c r="QN8" s="1"/>
      <c r="QO8" s="1"/>
      <c r="QP8" s="1"/>
      <c r="QQ8" s="76"/>
      <c r="QR8" s="1"/>
      <c r="QS8" s="1"/>
      <c r="QT8" s="1"/>
      <c r="QU8" s="1"/>
    </row>
    <row r="9" spans="1:463" ht="36.6">
      <c r="A9" s="1" t="s">
        <v>50</v>
      </c>
      <c r="B9" s="1"/>
      <c r="C9" s="1"/>
      <c r="D9" s="1"/>
      <c r="E9" s="1"/>
      <c r="F9" s="76"/>
      <c r="G9" s="1"/>
      <c r="H9" s="1"/>
      <c r="I9" s="76" t="s">
        <v>5</v>
      </c>
      <c r="J9" s="84">
        <f>+Main!J3</f>
        <v>1</v>
      </c>
      <c r="K9" s="83" t="s">
        <v>15</v>
      </c>
      <c r="L9" s="83">
        <f>+Main!K3</f>
        <v>16</v>
      </c>
      <c r="M9" s="82"/>
      <c r="N9" s="82"/>
      <c r="O9" s="1" t="s">
        <v>50</v>
      </c>
      <c r="P9" s="1"/>
      <c r="Q9" s="1"/>
      <c r="R9" s="1"/>
      <c r="S9" s="1"/>
      <c r="T9" s="76"/>
      <c r="U9" s="1"/>
      <c r="V9" s="1"/>
      <c r="W9" s="76" t="s">
        <v>5</v>
      </c>
      <c r="X9" s="84">
        <f>+Main!J4</f>
        <v>2</v>
      </c>
      <c r="Y9" s="83" t="s">
        <v>15</v>
      </c>
      <c r="Z9" s="83">
        <f>+Main!K4</f>
        <v>16</v>
      </c>
      <c r="AA9" s="82"/>
      <c r="AB9" s="82"/>
      <c r="AC9" s="1" t="s">
        <v>50</v>
      </c>
      <c r="AD9" s="1"/>
      <c r="AE9" s="1"/>
      <c r="AF9" s="1"/>
      <c r="AG9" s="1"/>
      <c r="AH9" s="76"/>
      <c r="AI9" s="1"/>
      <c r="AJ9" s="1"/>
      <c r="AK9" s="76" t="s">
        <v>5</v>
      </c>
      <c r="AL9" s="84">
        <f>+Main!J5</f>
        <v>3</v>
      </c>
      <c r="AM9" s="83" t="s">
        <v>15</v>
      </c>
      <c r="AN9" s="83">
        <f>+Main!K5</f>
        <v>16</v>
      </c>
      <c r="AO9" s="82"/>
      <c r="AP9" s="82"/>
      <c r="AQ9" s="1" t="s">
        <v>50</v>
      </c>
      <c r="AR9" s="1"/>
      <c r="AS9" s="1"/>
      <c r="AT9" s="1"/>
      <c r="AU9" s="1"/>
      <c r="AV9" s="76"/>
      <c r="AW9" s="1"/>
      <c r="AX9" s="1"/>
      <c r="AY9" s="76" t="s">
        <v>5</v>
      </c>
      <c r="AZ9" s="84">
        <f>+Main!J6</f>
        <v>4</v>
      </c>
      <c r="BA9" s="83" t="s">
        <v>15</v>
      </c>
      <c r="BB9" s="83">
        <f>+Main!K6</f>
        <v>16</v>
      </c>
      <c r="BC9" s="82"/>
      <c r="BD9" s="82"/>
      <c r="BE9" s="1" t="s">
        <v>50</v>
      </c>
      <c r="BF9" s="1"/>
      <c r="BG9" s="1"/>
      <c r="BH9" s="1"/>
      <c r="BI9" s="1"/>
      <c r="BJ9" s="76"/>
      <c r="BK9" s="1"/>
      <c r="BL9" s="1"/>
      <c r="BM9" s="76" t="s">
        <v>5</v>
      </c>
      <c r="BN9" s="84">
        <f>+Main!J7</f>
        <v>5</v>
      </c>
      <c r="BO9" s="83" t="s">
        <v>15</v>
      </c>
      <c r="BP9" s="83">
        <f>+Main!K7</f>
        <v>16</v>
      </c>
      <c r="BQ9" s="82"/>
      <c r="BR9" s="82"/>
      <c r="BS9" s="1" t="s">
        <v>50</v>
      </c>
      <c r="BT9" s="1"/>
      <c r="BU9" s="1"/>
      <c r="BV9" s="1"/>
      <c r="BW9" s="1"/>
      <c r="BX9" s="76"/>
      <c r="BY9" s="1"/>
      <c r="BZ9" s="1"/>
      <c r="CA9" s="76" t="s">
        <v>5</v>
      </c>
      <c r="CB9" s="84">
        <f>+Main!J8</f>
        <v>6</v>
      </c>
      <c r="CC9" s="83" t="s">
        <v>15</v>
      </c>
      <c r="CD9" s="83">
        <f>+Main!K8</f>
        <v>16</v>
      </c>
      <c r="CE9" s="82"/>
      <c r="CF9" s="82"/>
      <c r="CG9" s="1" t="s">
        <v>50</v>
      </c>
      <c r="CH9" s="1"/>
      <c r="CI9" s="1"/>
      <c r="CJ9" s="1"/>
      <c r="CK9" s="1"/>
      <c r="CL9" s="76"/>
      <c r="CM9" s="1"/>
      <c r="CN9" s="1"/>
      <c r="CO9" s="76" t="s">
        <v>5</v>
      </c>
      <c r="CP9" s="84">
        <f>+Main!J9</f>
        <v>7</v>
      </c>
      <c r="CQ9" s="83" t="s">
        <v>15</v>
      </c>
      <c r="CR9" s="83">
        <f>+Main!K9</f>
        <v>16</v>
      </c>
      <c r="CS9" s="82"/>
      <c r="CT9" s="82"/>
      <c r="CU9" s="1" t="s">
        <v>50</v>
      </c>
      <c r="CV9" s="1"/>
      <c r="CW9" s="1"/>
      <c r="CX9" s="1"/>
      <c r="CY9" s="1"/>
      <c r="CZ9" s="76"/>
      <c r="DA9" s="1"/>
      <c r="DB9" s="1"/>
      <c r="DC9" s="76" t="s">
        <v>5</v>
      </c>
      <c r="DD9" s="84">
        <f>+Main!J10</f>
        <v>8</v>
      </c>
      <c r="DE9" s="83" t="s">
        <v>15</v>
      </c>
      <c r="DF9" s="83">
        <f>+Main!K10</f>
        <v>16</v>
      </c>
      <c r="DG9" s="82"/>
      <c r="DH9" s="82"/>
      <c r="DI9" s="1" t="s">
        <v>50</v>
      </c>
      <c r="DJ9" s="1"/>
      <c r="DK9" s="1"/>
      <c r="DL9" s="1"/>
      <c r="DM9" s="1"/>
      <c r="DN9" s="76"/>
      <c r="DO9" s="1"/>
      <c r="DP9" s="1"/>
      <c r="DQ9" s="76" t="s">
        <v>5</v>
      </c>
      <c r="DR9" s="84">
        <f>+Main!J11</f>
        <v>9</v>
      </c>
      <c r="DS9" s="83" t="s">
        <v>15</v>
      </c>
      <c r="DT9" s="83">
        <f>+Main!K11</f>
        <v>16</v>
      </c>
      <c r="DU9" s="82"/>
      <c r="DV9" s="82"/>
      <c r="DW9" s="1" t="s">
        <v>50</v>
      </c>
      <c r="DX9" s="1"/>
      <c r="DY9" s="1"/>
      <c r="DZ9" s="1"/>
      <c r="EA9" s="1"/>
      <c r="EB9" s="76"/>
      <c r="EC9" s="1"/>
      <c r="ED9" s="1"/>
      <c r="EE9" s="76" t="s">
        <v>5</v>
      </c>
      <c r="EF9" s="84">
        <f>+Main!J12</f>
        <v>10</v>
      </c>
      <c r="EG9" s="83" t="s">
        <v>15</v>
      </c>
      <c r="EH9" s="83">
        <f>+Main!K12</f>
        <v>16</v>
      </c>
      <c r="EI9" s="82"/>
      <c r="EJ9" s="82"/>
      <c r="EK9" s="1" t="s">
        <v>50</v>
      </c>
      <c r="EL9" s="1"/>
      <c r="EM9" s="1"/>
      <c r="EN9" s="1"/>
      <c r="EO9" s="1"/>
      <c r="EP9" s="76"/>
      <c r="EQ9" s="1"/>
      <c r="ER9" s="1"/>
      <c r="ES9" s="76" t="s">
        <v>5</v>
      </c>
      <c r="ET9" s="84">
        <f>+Main!J13</f>
        <v>11</v>
      </c>
      <c r="EU9" s="83" t="s">
        <v>15</v>
      </c>
      <c r="EV9" s="83">
        <f>+Main!K13</f>
        <v>16</v>
      </c>
      <c r="EW9" s="82"/>
      <c r="EX9" s="82"/>
      <c r="EY9" s="1" t="s">
        <v>50</v>
      </c>
      <c r="EZ9" s="1"/>
      <c r="FA9" s="1"/>
      <c r="FB9" s="1"/>
      <c r="FC9" s="1"/>
      <c r="FD9" s="76"/>
      <c r="FE9" s="1"/>
      <c r="FF9" s="1"/>
      <c r="FG9" s="76" t="s">
        <v>5</v>
      </c>
      <c r="FH9" s="84">
        <f>+Main!J14</f>
        <v>12</v>
      </c>
      <c r="FI9" s="83" t="s">
        <v>15</v>
      </c>
      <c r="FJ9" s="83">
        <f>+Main!K14</f>
        <v>16</v>
      </c>
      <c r="FK9" s="82"/>
      <c r="FL9" s="82"/>
      <c r="FM9" s="1" t="s">
        <v>50</v>
      </c>
      <c r="FN9" s="1"/>
      <c r="FO9" s="1"/>
      <c r="FP9" s="1"/>
      <c r="FQ9" s="1"/>
      <c r="FR9" s="76"/>
      <c r="FS9" s="1"/>
      <c r="FT9" s="1"/>
      <c r="FU9" s="76" t="s">
        <v>5</v>
      </c>
      <c r="FV9" s="84">
        <f>+Main!J15</f>
        <v>13</v>
      </c>
      <c r="FW9" s="83" t="s">
        <v>15</v>
      </c>
      <c r="FX9" s="83">
        <f>+Main!K15</f>
        <v>16</v>
      </c>
      <c r="FY9" s="82"/>
      <c r="FZ9" s="82"/>
      <c r="GA9" s="1" t="s">
        <v>50</v>
      </c>
      <c r="GB9" s="1"/>
      <c r="GC9" s="1"/>
      <c r="GD9" s="1"/>
      <c r="GE9" s="1"/>
      <c r="GF9" s="76"/>
      <c r="GG9" s="1"/>
      <c r="GH9" s="1"/>
      <c r="GI9" s="76" t="s">
        <v>5</v>
      </c>
      <c r="GJ9" s="84">
        <f>+Main!J16</f>
        <v>14</v>
      </c>
      <c r="GK9" s="83" t="s">
        <v>15</v>
      </c>
      <c r="GL9" s="83">
        <f>+Main!K16</f>
        <v>16</v>
      </c>
      <c r="GM9" s="82"/>
      <c r="GN9" s="82"/>
      <c r="GO9" s="1" t="s">
        <v>50</v>
      </c>
      <c r="GP9" s="1"/>
      <c r="GQ9" s="1"/>
      <c r="GR9" s="1"/>
      <c r="GS9" s="1"/>
      <c r="GT9" s="76"/>
      <c r="GU9" s="1"/>
      <c r="GV9" s="1"/>
      <c r="GW9" s="76" t="s">
        <v>5</v>
      </c>
      <c r="GX9" s="84">
        <f>+Main!J17</f>
        <v>15</v>
      </c>
      <c r="GY9" s="83" t="s">
        <v>15</v>
      </c>
      <c r="GZ9" s="83">
        <f>+Main!K17</f>
        <v>16</v>
      </c>
      <c r="HA9" s="82"/>
      <c r="HB9" s="82"/>
      <c r="HC9" s="1" t="s">
        <v>50</v>
      </c>
      <c r="HD9" s="1"/>
      <c r="HE9" s="1"/>
      <c r="HF9" s="1"/>
      <c r="HG9" s="1"/>
      <c r="HH9" s="76"/>
      <c r="HI9" s="1"/>
      <c r="HJ9" s="1"/>
      <c r="HK9" s="76" t="s">
        <v>5</v>
      </c>
      <c r="HL9" s="84">
        <f>+Main!J18</f>
        <v>16</v>
      </c>
      <c r="HM9" s="83" t="s">
        <v>15</v>
      </c>
      <c r="HN9" s="83">
        <f>+Main!K18</f>
        <v>16</v>
      </c>
      <c r="HO9" s="82"/>
      <c r="HP9" s="82"/>
      <c r="HQ9" s="1" t="s">
        <v>50</v>
      </c>
      <c r="HR9" s="1"/>
      <c r="HS9" s="1"/>
      <c r="HT9" s="1"/>
      <c r="HU9" s="1"/>
      <c r="HV9" s="76"/>
      <c r="HW9" s="1"/>
      <c r="HX9" s="1"/>
      <c r="HY9" s="76" t="s">
        <v>5</v>
      </c>
      <c r="HZ9" s="84">
        <f>+Main!J19</f>
        <v>0</v>
      </c>
      <c r="IA9" s="83" t="s">
        <v>15</v>
      </c>
      <c r="IB9" s="83">
        <f>+Main!K19</f>
        <v>0</v>
      </c>
      <c r="IC9" s="82"/>
      <c r="ID9" s="82"/>
      <c r="IE9" s="1" t="s">
        <v>50</v>
      </c>
      <c r="IF9" s="1"/>
      <c r="IG9" s="1"/>
      <c r="IH9" s="1"/>
      <c r="II9" s="1"/>
      <c r="IJ9" s="76"/>
      <c r="IK9" s="1"/>
      <c r="IL9" s="1"/>
      <c r="IM9" s="76" t="s">
        <v>5</v>
      </c>
      <c r="IN9" s="84">
        <f>+Main!J20</f>
        <v>0</v>
      </c>
      <c r="IO9" s="83" t="s">
        <v>15</v>
      </c>
      <c r="IP9" s="83">
        <f>+Main!K20</f>
        <v>0</v>
      </c>
      <c r="IQ9" s="82"/>
      <c r="IR9" s="82"/>
      <c r="IS9" s="1" t="s">
        <v>50</v>
      </c>
      <c r="IT9" s="1"/>
      <c r="IU9" s="1"/>
      <c r="IV9" s="1"/>
      <c r="IW9" s="1"/>
      <c r="IX9" s="76"/>
      <c r="IY9" s="1"/>
      <c r="IZ9" s="1"/>
      <c r="JA9" s="76" t="s">
        <v>5</v>
      </c>
      <c r="JB9" s="84">
        <f>+Main!J21</f>
        <v>0</v>
      </c>
      <c r="JC9" s="83" t="s">
        <v>15</v>
      </c>
      <c r="JD9" s="83">
        <f>+Main!K21</f>
        <v>0</v>
      </c>
      <c r="JE9" s="82"/>
      <c r="JF9" s="82"/>
      <c r="JG9" s="1" t="s">
        <v>50</v>
      </c>
      <c r="JH9" s="1"/>
      <c r="JI9" s="1"/>
      <c r="JJ9" s="1"/>
      <c r="JK9" s="1"/>
      <c r="JL9" s="76"/>
      <c r="JM9" s="1"/>
      <c r="JN9" s="1"/>
      <c r="JO9" s="76" t="s">
        <v>5</v>
      </c>
      <c r="JP9" s="84">
        <f>+Main!J22</f>
        <v>0</v>
      </c>
      <c r="JQ9" s="83" t="s">
        <v>15</v>
      </c>
      <c r="JR9" s="83">
        <f>+Main!K22</f>
        <v>0</v>
      </c>
      <c r="JS9" s="82"/>
      <c r="JT9" s="82"/>
      <c r="JU9" s="1" t="s">
        <v>50</v>
      </c>
      <c r="JV9" s="1"/>
      <c r="JW9" s="1"/>
      <c r="JX9" s="1"/>
      <c r="JY9" s="1"/>
      <c r="JZ9" s="76"/>
      <c r="KA9" s="1"/>
      <c r="KB9" s="1"/>
      <c r="KC9" s="76" t="s">
        <v>5</v>
      </c>
      <c r="KD9" s="84">
        <f>+Main!J23</f>
        <v>0</v>
      </c>
      <c r="KE9" s="83" t="s">
        <v>15</v>
      </c>
      <c r="KF9" s="83">
        <f>+Main!K23</f>
        <v>0</v>
      </c>
      <c r="KG9" s="82"/>
      <c r="KH9" s="82"/>
      <c r="KI9" s="1" t="s">
        <v>50</v>
      </c>
      <c r="KJ9" s="1"/>
      <c r="KK9" s="1"/>
      <c r="KL9" s="1"/>
      <c r="KM9" s="1"/>
      <c r="KN9" s="76"/>
      <c r="KO9" s="1"/>
      <c r="KP9" s="1"/>
      <c r="KQ9" s="76" t="s">
        <v>5</v>
      </c>
      <c r="KR9" s="84">
        <f>+Main!J24</f>
        <v>0</v>
      </c>
      <c r="KS9" s="83" t="s">
        <v>15</v>
      </c>
      <c r="KT9" s="83">
        <f>+Main!K24</f>
        <v>0</v>
      </c>
      <c r="KU9" s="82"/>
      <c r="KV9" s="82"/>
      <c r="KW9" s="1" t="s">
        <v>50</v>
      </c>
      <c r="KX9" s="1"/>
      <c r="KY9" s="1"/>
      <c r="KZ9" s="1"/>
      <c r="LA9" s="1"/>
      <c r="LB9" s="76"/>
      <c r="LC9" s="1"/>
      <c r="LD9" s="1"/>
      <c r="LE9" s="76" t="s">
        <v>5</v>
      </c>
      <c r="LF9" s="84">
        <f>+Main!J25</f>
        <v>0</v>
      </c>
      <c r="LG9" s="83" t="s">
        <v>15</v>
      </c>
      <c r="LH9" s="83">
        <f>+Main!K25</f>
        <v>0</v>
      </c>
      <c r="LI9" s="82"/>
      <c r="LJ9" s="82"/>
      <c r="LK9" s="1" t="s">
        <v>50</v>
      </c>
      <c r="LL9" s="1"/>
      <c r="LM9" s="1"/>
      <c r="LN9" s="1"/>
      <c r="LO9" s="1"/>
      <c r="LP9" s="76"/>
      <c r="LQ9" s="1"/>
      <c r="LR9" s="1"/>
      <c r="LS9" s="76" t="s">
        <v>5</v>
      </c>
      <c r="LT9" s="84">
        <f>+Main!J26</f>
        <v>0</v>
      </c>
      <c r="LU9" s="83" t="s">
        <v>15</v>
      </c>
      <c r="LV9" s="83">
        <f>+Main!K26</f>
        <v>0</v>
      </c>
      <c r="LW9" s="82"/>
      <c r="LX9" s="82"/>
      <c r="LY9" s="1" t="s">
        <v>50</v>
      </c>
      <c r="LZ9" s="1"/>
      <c r="MA9" s="1"/>
      <c r="MB9" s="1"/>
      <c r="MC9" s="1"/>
      <c r="MD9" s="76"/>
      <c r="ME9" s="1"/>
      <c r="MF9" s="1"/>
      <c r="MG9" s="76" t="s">
        <v>5</v>
      </c>
      <c r="MH9" s="84">
        <f>+Main!J27</f>
        <v>0</v>
      </c>
      <c r="MI9" s="83" t="s">
        <v>15</v>
      </c>
      <c r="MJ9" s="83">
        <f>+Main!K27</f>
        <v>0</v>
      </c>
      <c r="MK9" s="82"/>
      <c r="ML9" s="82"/>
      <c r="MM9" s="1" t="s">
        <v>50</v>
      </c>
      <c r="MN9" s="1"/>
      <c r="MO9" s="1"/>
      <c r="MP9" s="1"/>
      <c r="MQ9" s="1"/>
      <c r="MR9" s="76"/>
      <c r="MS9" s="1"/>
      <c r="MT9" s="1"/>
      <c r="MU9" s="76" t="s">
        <v>5</v>
      </c>
      <c r="MV9" s="84">
        <f>+Main!J28</f>
        <v>0</v>
      </c>
      <c r="MW9" s="83" t="s">
        <v>15</v>
      </c>
      <c r="MX9" s="83">
        <f>+Main!K28</f>
        <v>0</v>
      </c>
      <c r="MY9" s="82"/>
      <c r="MZ9" s="82"/>
      <c r="NA9" s="1" t="s">
        <v>50</v>
      </c>
      <c r="NB9" s="1"/>
      <c r="NC9" s="1"/>
      <c r="ND9" s="1"/>
      <c r="NE9" s="1"/>
      <c r="NF9" s="76"/>
      <c r="NG9" s="1"/>
      <c r="NH9" s="1"/>
      <c r="NI9" s="76" t="s">
        <v>5</v>
      </c>
      <c r="NJ9" s="84">
        <f>+Main!J29</f>
        <v>0</v>
      </c>
      <c r="NK9" s="83" t="s">
        <v>15</v>
      </c>
      <c r="NL9" s="83">
        <f>+Main!K29</f>
        <v>0</v>
      </c>
      <c r="NM9" s="82"/>
      <c r="NN9" s="82"/>
      <c r="NO9" s="1" t="s">
        <v>50</v>
      </c>
      <c r="NP9" s="1"/>
      <c r="NQ9" s="1"/>
      <c r="NR9" s="1"/>
      <c r="NS9" s="1"/>
      <c r="NT9" s="76"/>
      <c r="NU9" s="1"/>
      <c r="NV9" s="1"/>
      <c r="NW9" s="76" t="s">
        <v>5</v>
      </c>
      <c r="NX9" s="84">
        <f>+Main!J30</f>
        <v>0</v>
      </c>
      <c r="NY9" s="83" t="s">
        <v>15</v>
      </c>
      <c r="NZ9" s="83">
        <f>+Main!K30</f>
        <v>0</v>
      </c>
      <c r="OA9" s="82"/>
      <c r="OB9" s="82"/>
      <c r="OC9" s="1" t="s">
        <v>50</v>
      </c>
      <c r="OD9" s="1"/>
      <c r="OE9" s="1"/>
      <c r="OF9" s="1"/>
      <c r="OG9" s="1"/>
      <c r="OH9" s="76"/>
      <c r="OI9" s="1"/>
      <c r="OJ9" s="1"/>
      <c r="OK9" s="76" t="s">
        <v>5</v>
      </c>
      <c r="OL9" s="84">
        <f>+Main!J31</f>
        <v>0</v>
      </c>
      <c r="OM9" s="83" t="s">
        <v>15</v>
      </c>
      <c r="ON9" s="83">
        <f>+Main!K31</f>
        <v>0</v>
      </c>
      <c r="OO9" s="82"/>
      <c r="OP9" s="82"/>
      <c r="OQ9" s="1" t="s">
        <v>50</v>
      </c>
      <c r="OR9" s="1"/>
      <c r="OS9" s="1"/>
      <c r="OT9" s="1"/>
      <c r="OU9" s="1"/>
      <c r="OV9" s="76"/>
      <c r="OW9" s="1"/>
      <c r="OX9" s="1"/>
      <c r="OY9" s="76" t="s">
        <v>5</v>
      </c>
      <c r="OZ9" s="84">
        <f>+Main!J32</f>
        <v>0</v>
      </c>
      <c r="PA9" s="83" t="s">
        <v>15</v>
      </c>
      <c r="PB9" s="83">
        <f>+Main!K32</f>
        <v>0</v>
      </c>
      <c r="PC9" s="82"/>
      <c r="PD9" s="82"/>
      <c r="PE9" s="1" t="s">
        <v>50</v>
      </c>
      <c r="PF9" s="1"/>
      <c r="PG9" s="1"/>
      <c r="PH9" s="1"/>
      <c r="PI9" s="1"/>
      <c r="PJ9" s="76"/>
      <c r="PK9" s="1"/>
      <c r="PL9" s="1"/>
      <c r="PM9" s="76" t="s">
        <v>5</v>
      </c>
      <c r="PN9" s="84">
        <f>+Main!J33</f>
        <v>0</v>
      </c>
      <c r="PO9" s="83" t="s">
        <v>15</v>
      </c>
      <c r="PP9" s="83">
        <f>+Main!K33</f>
        <v>0</v>
      </c>
      <c r="PQ9" s="82"/>
      <c r="PR9" s="82"/>
      <c r="PS9" s="1" t="s">
        <v>50</v>
      </c>
      <c r="PT9" s="1"/>
      <c r="PU9" s="1"/>
      <c r="PV9" s="1"/>
      <c r="PW9" s="1"/>
      <c r="PX9" s="76"/>
      <c r="PY9" s="1"/>
      <c r="PZ9" s="1"/>
      <c r="QA9" s="76" t="s">
        <v>5</v>
      </c>
      <c r="QB9" s="84">
        <f>+Main!J34</f>
        <v>0</v>
      </c>
      <c r="QC9" s="83" t="s">
        <v>15</v>
      </c>
      <c r="QD9" s="83">
        <f>+Main!K34</f>
        <v>0</v>
      </c>
      <c r="QE9" s="82"/>
      <c r="QF9" s="82"/>
      <c r="QG9" s="76"/>
      <c r="QH9" s="1"/>
      <c r="QI9" s="1"/>
      <c r="QJ9" s="1"/>
      <c r="QK9" s="1"/>
      <c r="QL9" s="1"/>
      <c r="QM9" s="1"/>
      <c r="QN9" s="1"/>
      <c r="QO9" s="1"/>
      <c r="QP9" s="1"/>
      <c r="QQ9" s="76"/>
      <c r="QR9" s="1"/>
      <c r="QS9" s="1"/>
      <c r="QT9" s="1"/>
      <c r="QU9" s="1"/>
    </row>
    <row r="10" spans="1:463" ht="36.6">
      <c r="A10" s="1" t="s">
        <v>72</v>
      </c>
      <c r="B10" s="1"/>
      <c r="C10" s="1"/>
      <c r="D10" s="1"/>
      <c r="E10" s="1"/>
      <c r="F10" s="76"/>
      <c r="G10" s="1"/>
      <c r="H10" s="1"/>
      <c r="I10" s="76" t="s">
        <v>5</v>
      </c>
      <c r="J10" s="82" t="str">
        <f>+Main!C1</f>
        <v>CT241203066-1</v>
      </c>
      <c r="K10" s="82"/>
      <c r="L10" s="82"/>
      <c r="M10" s="82"/>
      <c r="N10" s="82"/>
      <c r="O10" s="1" t="s">
        <v>72</v>
      </c>
      <c r="P10" s="1"/>
      <c r="Q10" s="1"/>
      <c r="R10" s="1"/>
      <c r="S10" s="1"/>
      <c r="T10" s="76"/>
      <c r="U10" s="1"/>
      <c r="V10" s="1"/>
      <c r="W10" s="76" t="s">
        <v>5</v>
      </c>
      <c r="X10" s="84" t="str">
        <f>+Main!C1</f>
        <v>CT241203066-1</v>
      </c>
      <c r="Y10" s="82"/>
      <c r="Z10" s="82"/>
      <c r="AA10" s="82"/>
      <c r="AB10" s="82"/>
      <c r="AC10" s="1" t="s">
        <v>72</v>
      </c>
      <c r="AD10" s="1"/>
      <c r="AE10" s="1"/>
      <c r="AF10" s="1"/>
      <c r="AG10" s="1"/>
      <c r="AH10" s="76"/>
      <c r="AI10" s="1"/>
      <c r="AJ10" s="1"/>
      <c r="AK10" s="76" t="s">
        <v>5</v>
      </c>
      <c r="AL10" s="84" t="str">
        <f>+Main!C1</f>
        <v>CT241203066-1</v>
      </c>
      <c r="AM10" s="82"/>
      <c r="AN10" s="82"/>
      <c r="AO10" s="82"/>
      <c r="AP10" s="82"/>
      <c r="AQ10" s="1" t="s">
        <v>72</v>
      </c>
      <c r="AR10" s="1"/>
      <c r="AS10" s="1"/>
      <c r="AT10" s="1"/>
      <c r="AU10" s="1"/>
      <c r="AV10" s="76"/>
      <c r="AW10" s="1"/>
      <c r="AX10" s="1"/>
      <c r="AY10" s="76" t="s">
        <v>5</v>
      </c>
      <c r="AZ10" s="84" t="str">
        <f>+Main!C1</f>
        <v>CT241203066-1</v>
      </c>
      <c r="BA10" s="82"/>
      <c r="BB10" s="82"/>
      <c r="BC10" s="82"/>
      <c r="BD10" s="82"/>
      <c r="BE10" s="1" t="s">
        <v>72</v>
      </c>
      <c r="BF10" s="1"/>
      <c r="BG10" s="1"/>
      <c r="BH10" s="1"/>
      <c r="BI10" s="1"/>
      <c r="BJ10" s="76"/>
      <c r="BK10" s="1"/>
      <c r="BL10" s="1"/>
      <c r="BM10" s="76" t="s">
        <v>5</v>
      </c>
      <c r="BN10" s="84" t="str">
        <f>+Main!C1</f>
        <v>CT241203066-1</v>
      </c>
      <c r="BO10" s="82"/>
      <c r="BP10" s="82"/>
      <c r="BQ10" s="82"/>
      <c r="BR10" s="82"/>
      <c r="BS10" s="1" t="s">
        <v>72</v>
      </c>
      <c r="BT10" s="1"/>
      <c r="BU10" s="1"/>
      <c r="BV10" s="1"/>
      <c r="BW10" s="1"/>
      <c r="BX10" s="76"/>
      <c r="BY10" s="1"/>
      <c r="BZ10" s="1"/>
      <c r="CA10" s="76" t="s">
        <v>5</v>
      </c>
      <c r="CB10" s="84" t="str">
        <f>+Main!C1</f>
        <v>CT241203066-1</v>
      </c>
      <c r="CC10" s="82"/>
      <c r="CD10" s="82"/>
      <c r="CE10" s="82"/>
      <c r="CF10" s="82"/>
      <c r="CG10" s="1" t="s">
        <v>72</v>
      </c>
      <c r="CH10" s="1"/>
      <c r="CI10" s="1"/>
      <c r="CJ10" s="1"/>
      <c r="CK10" s="1"/>
      <c r="CL10" s="76"/>
      <c r="CM10" s="1"/>
      <c r="CN10" s="1"/>
      <c r="CO10" s="76" t="s">
        <v>5</v>
      </c>
      <c r="CP10" s="84" t="str">
        <f>+Main!C1</f>
        <v>CT241203066-1</v>
      </c>
      <c r="CQ10" s="82"/>
      <c r="CR10" s="82"/>
      <c r="CS10" s="82"/>
      <c r="CT10" s="82"/>
      <c r="CU10" s="1" t="s">
        <v>72</v>
      </c>
      <c r="CV10" s="1"/>
      <c r="CW10" s="1"/>
      <c r="CX10" s="1"/>
      <c r="CY10" s="1"/>
      <c r="CZ10" s="76"/>
      <c r="DA10" s="1"/>
      <c r="DB10" s="1"/>
      <c r="DC10" s="76" t="s">
        <v>5</v>
      </c>
      <c r="DD10" s="84" t="str">
        <f>+Main!C1</f>
        <v>CT241203066-1</v>
      </c>
      <c r="DE10" s="82"/>
      <c r="DF10" s="82"/>
      <c r="DG10" s="82"/>
      <c r="DH10" s="82"/>
      <c r="DI10" s="1" t="s">
        <v>72</v>
      </c>
      <c r="DJ10" s="1"/>
      <c r="DK10" s="1"/>
      <c r="DL10" s="1"/>
      <c r="DM10" s="1"/>
      <c r="DN10" s="76"/>
      <c r="DO10" s="1"/>
      <c r="DP10" s="1"/>
      <c r="DQ10" s="76" t="s">
        <v>5</v>
      </c>
      <c r="DR10" s="84" t="str">
        <f>+Main!C1</f>
        <v>CT241203066-1</v>
      </c>
      <c r="DS10" s="82"/>
      <c r="DT10" s="82"/>
      <c r="DU10" s="82"/>
      <c r="DV10" s="82"/>
      <c r="DW10" s="1" t="s">
        <v>72</v>
      </c>
      <c r="DX10" s="1"/>
      <c r="DY10" s="1"/>
      <c r="DZ10" s="1"/>
      <c r="EA10" s="1"/>
      <c r="EB10" s="76"/>
      <c r="EC10" s="1"/>
      <c r="ED10" s="1"/>
      <c r="EE10" s="76" t="s">
        <v>5</v>
      </c>
      <c r="EF10" s="84" t="str">
        <f>+Main!C1</f>
        <v>CT241203066-1</v>
      </c>
      <c r="EG10" s="82"/>
      <c r="EH10" s="82"/>
      <c r="EI10" s="82"/>
      <c r="EJ10" s="82"/>
      <c r="EK10" s="1" t="s">
        <v>72</v>
      </c>
      <c r="EL10" s="1"/>
      <c r="EM10" s="1"/>
      <c r="EN10" s="1"/>
      <c r="EO10" s="1"/>
      <c r="EP10" s="76"/>
      <c r="EQ10" s="1"/>
      <c r="ER10" s="1"/>
      <c r="ES10" s="76" t="s">
        <v>5</v>
      </c>
      <c r="ET10" s="84" t="str">
        <f>+Main!C1</f>
        <v>CT241203066-1</v>
      </c>
      <c r="EU10" s="82"/>
      <c r="EV10" s="82"/>
      <c r="EW10" s="82"/>
      <c r="EX10" s="82"/>
      <c r="EY10" s="1" t="s">
        <v>72</v>
      </c>
      <c r="EZ10" s="1"/>
      <c r="FA10" s="1"/>
      <c r="FB10" s="1"/>
      <c r="FC10" s="1"/>
      <c r="FD10" s="76"/>
      <c r="FE10" s="1"/>
      <c r="FF10" s="1"/>
      <c r="FG10" s="76" t="s">
        <v>5</v>
      </c>
      <c r="FH10" s="84" t="str">
        <f>+Main!C1</f>
        <v>CT241203066-1</v>
      </c>
      <c r="FI10" s="82"/>
      <c r="FJ10" s="82"/>
      <c r="FK10" s="82"/>
      <c r="FL10" s="82"/>
      <c r="FM10" s="1" t="s">
        <v>72</v>
      </c>
      <c r="FN10" s="1"/>
      <c r="FO10" s="1"/>
      <c r="FP10" s="1"/>
      <c r="FQ10" s="1"/>
      <c r="FR10" s="76"/>
      <c r="FS10" s="1"/>
      <c r="FT10" s="1"/>
      <c r="FU10" s="76" t="s">
        <v>5</v>
      </c>
      <c r="FV10" s="84" t="str">
        <f>+Main!C1</f>
        <v>CT241203066-1</v>
      </c>
      <c r="FW10" s="82"/>
      <c r="FX10" s="82"/>
      <c r="FY10" s="82"/>
      <c r="FZ10" s="82"/>
      <c r="GA10" s="1" t="s">
        <v>72</v>
      </c>
      <c r="GB10" s="1"/>
      <c r="GC10" s="1"/>
      <c r="GD10" s="1"/>
      <c r="GE10" s="1"/>
      <c r="GF10" s="76"/>
      <c r="GG10" s="1"/>
      <c r="GH10" s="1"/>
      <c r="GI10" s="76" t="s">
        <v>5</v>
      </c>
      <c r="GJ10" s="84" t="str">
        <f>+Main!C1</f>
        <v>CT241203066-1</v>
      </c>
      <c r="GK10" s="82"/>
      <c r="GL10" s="82"/>
      <c r="GM10" s="82"/>
      <c r="GN10" s="82"/>
      <c r="GO10" s="1" t="s">
        <v>72</v>
      </c>
      <c r="GP10" s="1"/>
      <c r="GQ10" s="1"/>
      <c r="GR10" s="1"/>
      <c r="GS10" s="1"/>
      <c r="GT10" s="76"/>
      <c r="GU10" s="1"/>
      <c r="GV10" s="1"/>
      <c r="GW10" s="76" t="s">
        <v>5</v>
      </c>
      <c r="GX10" s="84" t="str">
        <f>+Main!C1</f>
        <v>CT241203066-1</v>
      </c>
      <c r="GY10" s="82"/>
      <c r="GZ10" s="82"/>
      <c r="HA10" s="82"/>
      <c r="HB10" s="82"/>
      <c r="HC10" s="1" t="s">
        <v>72</v>
      </c>
      <c r="HD10" s="1"/>
      <c r="HE10" s="1"/>
      <c r="HF10" s="1"/>
      <c r="HG10" s="1"/>
      <c r="HH10" s="76"/>
      <c r="HI10" s="1"/>
      <c r="HJ10" s="1"/>
      <c r="HK10" s="76" t="s">
        <v>5</v>
      </c>
      <c r="HL10" s="82" t="str">
        <f>+Main!C1</f>
        <v>CT241203066-1</v>
      </c>
      <c r="HM10" s="82"/>
      <c r="HN10" s="82"/>
      <c r="HO10" s="82"/>
      <c r="HP10" s="82"/>
      <c r="HQ10" s="1" t="s">
        <v>72</v>
      </c>
      <c r="HR10" s="1"/>
      <c r="HS10" s="1"/>
      <c r="HT10" s="1"/>
      <c r="HU10" s="1"/>
      <c r="HV10" s="76"/>
      <c r="HW10" s="1"/>
      <c r="HX10" s="1"/>
      <c r="HY10" s="76" t="s">
        <v>5</v>
      </c>
      <c r="HZ10" s="82" t="str">
        <f>+Main!C1</f>
        <v>CT241203066-1</v>
      </c>
      <c r="IA10" s="82"/>
      <c r="IB10" s="82"/>
      <c r="IC10" s="82"/>
      <c r="ID10" s="82"/>
      <c r="IE10" s="1" t="s">
        <v>72</v>
      </c>
      <c r="IF10" s="1"/>
      <c r="IG10" s="1"/>
      <c r="IH10" s="1"/>
      <c r="II10" s="1"/>
      <c r="IJ10" s="76"/>
      <c r="IK10" s="1"/>
      <c r="IL10" s="1"/>
      <c r="IM10" s="76" t="s">
        <v>5</v>
      </c>
      <c r="IN10" s="82" t="str">
        <f>+Main!C1</f>
        <v>CT241203066-1</v>
      </c>
      <c r="IO10" s="82"/>
      <c r="IP10" s="82"/>
      <c r="IQ10" s="82"/>
      <c r="IR10" s="82"/>
      <c r="IS10" s="1" t="s">
        <v>72</v>
      </c>
      <c r="IT10" s="1"/>
      <c r="IU10" s="1"/>
      <c r="IV10" s="1"/>
      <c r="IW10" s="1"/>
      <c r="IX10" s="76"/>
      <c r="IY10" s="1"/>
      <c r="IZ10" s="1"/>
      <c r="JA10" s="76" t="s">
        <v>5</v>
      </c>
      <c r="JB10" s="82" t="str">
        <f>+Main!C1</f>
        <v>CT241203066-1</v>
      </c>
      <c r="JC10" s="82"/>
      <c r="JD10" s="82"/>
      <c r="JE10" s="82"/>
      <c r="JF10" s="82"/>
      <c r="JG10" s="1" t="s">
        <v>72</v>
      </c>
      <c r="JH10" s="1"/>
      <c r="JI10" s="1"/>
      <c r="JJ10" s="1"/>
      <c r="JK10" s="1"/>
      <c r="JL10" s="76"/>
      <c r="JM10" s="1"/>
      <c r="JN10" s="1"/>
      <c r="JO10" s="76" t="s">
        <v>5</v>
      </c>
      <c r="JP10" s="82" t="str">
        <f>+Main!C1</f>
        <v>CT241203066-1</v>
      </c>
      <c r="JQ10" s="82"/>
      <c r="JR10" s="82"/>
      <c r="JS10" s="82"/>
      <c r="JT10" s="82"/>
      <c r="JU10" s="1" t="s">
        <v>72</v>
      </c>
      <c r="JV10" s="1"/>
      <c r="JW10" s="1"/>
      <c r="JX10" s="1"/>
      <c r="JY10" s="1"/>
      <c r="JZ10" s="76"/>
      <c r="KA10" s="1"/>
      <c r="KB10" s="1"/>
      <c r="KC10" s="76" t="s">
        <v>5</v>
      </c>
      <c r="KD10" s="82" t="str">
        <f>+Main!C1</f>
        <v>CT241203066-1</v>
      </c>
      <c r="KE10" s="82"/>
      <c r="KF10" s="82"/>
      <c r="KG10" s="82"/>
      <c r="KH10" s="82"/>
      <c r="KI10" s="1" t="s">
        <v>72</v>
      </c>
      <c r="KJ10" s="1"/>
      <c r="KK10" s="1"/>
      <c r="KL10" s="1"/>
      <c r="KM10" s="1"/>
      <c r="KN10" s="76"/>
      <c r="KO10" s="1"/>
      <c r="KP10" s="1"/>
      <c r="KQ10" s="76" t="s">
        <v>5</v>
      </c>
      <c r="KR10" s="82" t="str">
        <f>+Main!C1</f>
        <v>CT241203066-1</v>
      </c>
      <c r="KS10" s="82"/>
      <c r="KT10" s="82"/>
      <c r="KU10" s="82"/>
      <c r="KV10" s="82"/>
      <c r="KW10" s="1" t="s">
        <v>72</v>
      </c>
      <c r="KX10" s="1"/>
      <c r="KY10" s="1"/>
      <c r="KZ10" s="1"/>
      <c r="LA10" s="1"/>
      <c r="LB10" s="76"/>
      <c r="LC10" s="1"/>
      <c r="LD10" s="1"/>
      <c r="LE10" s="76" t="s">
        <v>5</v>
      </c>
      <c r="LF10" s="82" t="str">
        <f>+Main!C1</f>
        <v>CT241203066-1</v>
      </c>
      <c r="LG10" s="82"/>
      <c r="LH10" s="82"/>
      <c r="LI10" s="82"/>
      <c r="LJ10" s="82"/>
      <c r="LK10" s="1" t="s">
        <v>72</v>
      </c>
      <c r="LL10" s="1"/>
      <c r="LM10" s="1"/>
      <c r="LN10" s="1"/>
      <c r="LO10" s="1"/>
      <c r="LP10" s="76"/>
      <c r="LQ10" s="1"/>
      <c r="LR10" s="1"/>
      <c r="LS10" s="76" t="s">
        <v>5</v>
      </c>
      <c r="LT10" s="82" t="str">
        <f>+Main!C1</f>
        <v>CT241203066-1</v>
      </c>
      <c r="LU10" s="82"/>
      <c r="LV10" s="82"/>
      <c r="LW10" s="82"/>
      <c r="LX10" s="82"/>
      <c r="LY10" s="1" t="s">
        <v>72</v>
      </c>
      <c r="LZ10" s="1"/>
      <c r="MA10" s="1"/>
      <c r="MB10" s="1"/>
      <c r="MC10" s="1"/>
      <c r="MD10" s="76"/>
      <c r="ME10" s="1"/>
      <c r="MF10" s="1"/>
      <c r="MG10" s="76" t="s">
        <v>5</v>
      </c>
      <c r="MH10" s="82" t="str">
        <f>+Main!C1</f>
        <v>CT241203066-1</v>
      </c>
      <c r="MI10" s="82"/>
      <c r="MJ10" s="82"/>
      <c r="MK10" s="82"/>
      <c r="ML10" s="82"/>
      <c r="MM10" s="1" t="s">
        <v>72</v>
      </c>
      <c r="MN10" s="1"/>
      <c r="MO10" s="1"/>
      <c r="MP10" s="1"/>
      <c r="MQ10" s="1"/>
      <c r="MR10" s="76"/>
      <c r="MS10" s="1"/>
      <c r="MT10" s="1"/>
      <c r="MU10" s="76" t="s">
        <v>5</v>
      </c>
      <c r="MV10" s="82" t="str">
        <f>+Main!C1</f>
        <v>CT241203066-1</v>
      </c>
      <c r="MW10" s="82"/>
      <c r="MX10" s="82"/>
      <c r="MY10" s="82"/>
      <c r="MZ10" s="82"/>
      <c r="NA10" s="1" t="s">
        <v>72</v>
      </c>
      <c r="NB10" s="1"/>
      <c r="NC10" s="1"/>
      <c r="ND10" s="1"/>
      <c r="NE10" s="1"/>
      <c r="NF10" s="76"/>
      <c r="NG10" s="1"/>
      <c r="NH10" s="1"/>
      <c r="NI10" s="76" t="s">
        <v>5</v>
      </c>
      <c r="NJ10" s="82" t="str">
        <f>+Main!C1</f>
        <v>CT241203066-1</v>
      </c>
      <c r="NK10" s="82"/>
      <c r="NL10" s="82"/>
      <c r="NM10" s="82"/>
      <c r="NN10" s="82"/>
      <c r="NO10" s="1" t="s">
        <v>72</v>
      </c>
      <c r="NP10" s="1"/>
      <c r="NQ10" s="1"/>
      <c r="NR10" s="1"/>
      <c r="NS10" s="1"/>
      <c r="NT10" s="76"/>
      <c r="NU10" s="1"/>
      <c r="NV10" s="1"/>
      <c r="NW10" s="76" t="s">
        <v>5</v>
      </c>
      <c r="NX10" s="82" t="str">
        <f>+Main!C1</f>
        <v>CT241203066-1</v>
      </c>
      <c r="NY10" s="82"/>
      <c r="NZ10" s="82"/>
      <c r="OA10" s="82"/>
      <c r="OB10" s="82"/>
      <c r="OC10" s="1" t="s">
        <v>72</v>
      </c>
      <c r="OD10" s="1"/>
      <c r="OE10" s="1"/>
      <c r="OF10" s="1"/>
      <c r="OG10" s="1"/>
      <c r="OH10" s="76"/>
      <c r="OI10" s="1"/>
      <c r="OJ10" s="1"/>
      <c r="OK10" s="76" t="s">
        <v>5</v>
      </c>
      <c r="OL10" s="82" t="str">
        <f>+Main!C1</f>
        <v>CT241203066-1</v>
      </c>
      <c r="OM10" s="82"/>
      <c r="ON10" s="82"/>
      <c r="OO10" s="82"/>
      <c r="OP10" s="82"/>
      <c r="OQ10" s="1" t="s">
        <v>72</v>
      </c>
      <c r="OR10" s="1"/>
      <c r="OS10" s="1"/>
      <c r="OT10" s="1"/>
      <c r="OU10" s="1"/>
      <c r="OV10" s="76"/>
      <c r="OW10" s="1"/>
      <c r="OX10" s="1"/>
      <c r="OY10" s="76" t="s">
        <v>5</v>
      </c>
      <c r="OZ10" s="82" t="str">
        <f>+Main!C1</f>
        <v>CT241203066-1</v>
      </c>
      <c r="PA10" s="82"/>
      <c r="PB10" s="82"/>
      <c r="PC10" s="82"/>
      <c r="PD10" s="82"/>
      <c r="PE10" s="1" t="s">
        <v>72</v>
      </c>
      <c r="PF10" s="1"/>
      <c r="PG10" s="1"/>
      <c r="PH10" s="1"/>
      <c r="PI10" s="1"/>
      <c r="PJ10" s="76"/>
      <c r="PK10" s="1"/>
      <c r="PL10" s="1"/>
      <c r="PM10" s="76" t="s">
        <v>5</v>
      </c>
      <c r="PN10" s="82" t="str">
        <f>+Main!C1</f>
        <v>CT241203066-1</v>
      </c>
      <c r="PO10" s="82"/>
      <c r="PP10" s="82"/>
      <c r="PQ10" s="82"/>
      <c r="PR10" s="82"/>
      <c r="PS10" s="1" t="s">
        <v>72</v>
      </c>
      <c r="PT10" s="1"/>
      <c r="PU10" s="1"/>
      <c r="PV10" s="1"/>
      <c r="PW10" s="1"/>
      <c r="PX10" s="76"/>
      <c r="PY10" s="1"/>
      <c r="PZ10" s="1"/>
      <c r="QA10" s="76" t="s">
        <v>5</v>
      </c>
      <c r="QB10" s="82" t="str">
        <f>+Main!C1</f>
        <v>CT241203066-1</v>
      </c>
      <c r="QC10" s="82"/>
      <c r="QD10" s="82"/>
      <c r="QE10" s="82"/>
      <c r="QF10" s="82"/>
      <c r="QG10" s="76"/>
      <c r="QH10" s="1"/>
      <c r="QI10" s="1"/>
      <c r="QJ10" s="1"/>
      <c r="QK10" s="1"/>
      <c r="QL10" s="1"/>
      <c r="QM10" s="1"/>
      <c r="QN10" s="1"/>
      <c r="QO10" s="1"/>
      <c r="QP10" s="1"/>
      <c r="QQ10" s="76"/>
      <c r="QR10" s="1"/>
      <c r="QS10" s="1"/>
      <c r="QT10" s="1"/>
      <c r="QU10" s="1"/>
    </row>
    <row r="11" spans="1:463" ht="21" customHeight="1">
      <c r="A11" s="126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  <c r="DK11" s="126"/>
      <c r="DL11" s="126"/>
      <c r="DM11" s="126"/>
      <c r="DN11" s="126"/>
      <c r="DO11" s="126"/>
      <c r="DP11" s="126"/>
      <c r="DQ11" s="126"/>
      <c r="DR11" s="126"/>
      <c r="DS11" s="126"/>
      <c r="DT11" s="126"/>
      <c r="DU11" s="126"/>
      <c r="DV11" s="126"/>
      <c r="DW11" s="126"/>
      <c r="DX11" s="126"/>
      <c r="DY11" s="126"/>
      <c r="DZ11" s="126"/>
      <c r="EA11" s="126"/>
      <c r="EB11" s="126"/>
      <c r="EC11" s="126"/>
      <c r="ED11" s="126"/>
      <c r="EE11" s="126"/>
      <c r="EF11" s="126"/>
      <c r="EG11" s="126"/>
      <c r="EH11" s="126"/>
      <c r="EI11" s="126"/>
      <c r="EJ11" s="126"/>
      <c r="EK11" s="126"/>
      <c r="EL11" s="126"/>
      <c r="EM11" s="126"/>
      <c r="EN11" s="126"/>
      <c r="EO11" s="126"/>
      <c r="EP11" s="126"/>
      <c r="EQ11" s="126"/>
      <c r="ER11" s="126"/>
      <c r="ES11" s="126"/>
      <c r="ET11" s="126"/>
      <c r="EU11" s="126"/>
      <c r="EV11" s="126"/>
      <c r="EW11" s="126"/>
      <c r="EX11" s="126"/>
      <c r="EY11" s="126"/>
      <c r="EZ11" s="126"/>
      <c r="FA11" s="126"/>
      <c r="FB11" s="126"/>
      <c r="FC11" s="126"/>
      <c r="FD11" s="126"/>
      <c r="FE11" s="126"/>
      <c r="FF11" s="126"/>
      <c r="FG11" s="126"/>
      <c r="FH11" s="126"/>
      <c r="FI11" s="126"/>
      <c r="FJ11" s="126"/>
      <c r="FK11" s="126"/>
      <c r="FL11" s="126"/>
      <c r="FM11" s="126"/>
      <c r="FN11" s="126"/>
      <c r="FO11" s="126"/>
      <c r="FP11" s="126"/>
      <c r="FQ11" s="126"/>
      <c r="FR11" s="126"/>
      <c r="FS11" s="126"/>
      <c r="FT11" s="126"/>
      <c r="FU11" s="126"/>
      <c r="FV11" s="126"/>
      <c r="FW11" s="126"/>
      <c r="FX11" s="126"/>
      <c r="FY11" s="126"/>
      <c r="FZ11" s="126"/>
      <c r="GA11" s="126"/>
      <c r="GB11" s="126"/>
      <c r="GC11" s="126"/>
      <c r="GD11" s="126"/>
      <c r="GE11" s="126"/>
      <c r="GF11" s="126"/>
      <c r="GG11" s="126"/>
      <c r="GH11" s="126"/>
      <c r="GI11" s="126"/>
      <c r="GJ11" s="126"/>
      <c r="GK11" s="126"/>
      <c r="GL11" s="126"/>
      <c r="GM11" s="126"/>
      <c r="GN11" s="126"/>
      <c r="GO11" s="126"/>
      <c r="GP11" s="126"/>
      <c r="GQ11" s="126"/>
      <c r="GR11" s="126"/>
      <c r="GS11" s="126"/>
      <c r="GT11" s="126"/>
      <c r="GU11" s="126"/>
      <c r="GV11" s="126"/>
      <c r="GW11" s="126"/>
      <c r="GX11" s="126"/>
      <c r="GY11" s="126"/>
      <c r="GZ11" s="126"/>
      <c r="HA11" s="126"/>
      <c r="HB11" s="126"/>
      <c r="HC11" s="126"/>
      <c r="HD11" s="126"/>
      <c r="HE11" s="126"/>
      <c r="HF11" s="126"/>
      <c r="HG11" s="126"/>
      <c r="HH11" s="126"/>
      <c r="HI11" s="126"/>
      <c r="HJ11" s="126"/>
      <c r="HK11" s="126"/>
      <c r="HL11" s="126"/>
      <c r="HM11" s="126"/>
      <c r="HN11" s="126"/>
      <c r="HO11" s="126"/>
      <c r="HP11" s="126"/>
      <c r="HQ11" s="126"/>
      <c r="HR11" s="126"/>
      <c r="HS11" s="126"/>
      <c r="HT11" s="126"/>
      <c r="HU11" s="126"/>
      <c r="HV11" s="126"/>
      <c r="HW11" s="126"/>
      <c r="HX11" s="126"/>
      <c r="HY11" s="126"/>
      <c r="HZ11" s="126"/>
      <c r="IA11" s="126"/>
      <c r="IB11" s="126"/>
      <c r="IC11" s="126"/>
      <c r="ID11" s="126"/>
      <c r="IE11" s="126"/>
      <c r="IF11" s="126"/>
      <c r="IG11" s="126"/>
      <c r="IH11" s="126"/>
      <c r="II11" s="126"/>
      <c r="IJ11" s="126"/>
      <c r="IK11" s="126"/>
      <c r="IL11" s="126"/>
      <c r="IM11" s="126"/>
      <c r="IN11" s="126"/>
      <c r="IO11" s="126"/>
      <c r="IP11" s="126"/>
      <c r="IQ11" s="126"/>
      <c r="IR11" s="126"/>
      <c r="IS11" s="126"/>
      <c r="IT11" s="126"/>
      <c r="IU11" s="126"/>
      <c r="IV11" s="126"/>
      <c r="IW11" s="126"/>
      <c r="IX11" s="126"/>
      <c r="IY11" s="126"/>
      <c r="IZ11" s="126"/>
      <c r="JA11" s="126"/>
      <c r="JB11" s="126"/>
      <c r="JC11" s="126"/>
      <c r="JD11" s="126"/>
      <c r="JE11" s="126"/>
      <c r="JF11" s="126"/>
      <c r="JG11" s="126"/>
      <c r="JH11" s="126"/>
      <c r="JI11" s="126"/>
      <c r="JJ11" s="126"/>
      <c r="JK11" s="126"/>
      <c r="JL11" s="126"/>
      <c r="JM11" s="126"/>
      <c r="JN11" s="126"/>
      <c r="JO11" s="126"/>
      <c r="JP11" s="126"/>
      <c r="JQ11" s="126"/>
      <c r="JR11" s="126"/>
      <c r="JS11" s="126"/>
      <c r="JT11" s="126"/>
      <c r="JU11" s="126"/>
      <c r="JV11" s="126"/>
      <c r="JW11" s="126"/>
      <c r="JX11" s="126"/>
      <c r="JY11" s="126"/>
      <c r="JZ11" s="126"/>
      <c r="KA11" s="126"/>
      <c r="KB11" s="126"/>
      <c r="KC11" s="126"/>
      <c r="KD11" s="126"/>
      <c r="KE11" s="126"/>
      <c r="KF11" s="126"/>
      <c r="KG11" s="126"/>
      <c r="KH11" s="126"/>
      <c r="KI11" s="126"/>
      <c r="KJ11" s="126"/>
      <c r="KK11" s="126"/>
      <c r="KL11" s="126"/>
      <c r="KM11" s="126"/>
      <c r="KN11" s="126"/>
      <c r="KO11" s="126"/>
      <c r="KP11" s="126"/>
      <c r="KQ11" s="126"/>
      <c r="KR11" s="126"/>
      <c r="KS11" s="126"/>
      <c r="KT11" s="126"/>
      <c r="KU11" s="126"/>
      <c r="KV11" s="126"/>
      <c r="KW11" s="126"/>
      <c r="KX11" s="126"/>
      <c r="KY11" s="126"/>
      <c r="KZ11" s="126"/>
      <c r="LA11" s="126"/>
      <c r="LB11" s="126"/>
      <c r="LC11" s="126"/>
      <c r="LD11" s="126"/>
      <c r="LE11" s="126"/>
      <c r="LF11" s="126"/>
      <c r="LG11" s="126"/>
      <c r="LH11" s="126"/>
      <c r="LI11" s="126"/>
      <c r="LJ11" s="126"/>
      <c r="LK11" s="126"/>
      <c r="LL11" s="126"/>
      <c r="LM11" s="126"/>
      <c r="LN11" s="126"/>
      <c r="LO11" s="126"/>
      <c r="LP11" s="126"/>
      <c r="LQ11" s="126"/>
      <c r="LR11" s="126"/>
      <c r="LS11" s="126"/>
      <c r="LT11" s="126"/>
      <c r="LU11" s="126"/>
      <c r="LV11" s="126"/>
      <c r="LW11" s="126"/>
      <c r="LX11" s="126"/>
      <c r="LY11" s="126"/>
      <c r="LZ11" s="126"/>
      <c r="MA11" s="126"/>
      <c r="MB11" s="126"/>
      <c r="MC11" s="126"/>
      <c r="MD11" s="126"/>
      <c r="ME11" s="126"/>
      <c r="MF11" s="126"/>
      <c r="MG11" s="126"/>
      <c r="MH11" s="126"/>
      <c r="MI11" s="126"/>
      <c r="MJ11" s="126"/>
      <c r="MK11" s="126"/>
      <c r="ML11" s="126"/>
      <c r="MM11" s="126"/>
      <c r="MN11" s="126"/>
      <c r="MO11" s="126"/>
      <c r="MP11" s="126"/>
      <c r="MQ11" s="126"/>
      <c r="MR11" s="126"/>
      <c r="MS11" s="126"/>
      <c r="MT11" s="126"/>
      <c r="MU11" s="126"/>
      <c r="MV11" s="126"/>
      <c r="MW11" s="126"/>
      <c r="MX11" s="126"/>
      <c r="MY11" s="126"/>
      <c r="MZ11" s="126"/>
      <c r="NA11" s="126"/>
      <c r="NB11" s="126"/>
      <c r="NC11" s="126"/>
      <c r="ND11" s="126"/>
      <c r="NE11" s="126"/>
      <c r="NF11" s="126"/>
      <c r="NG11" s="126"/>
      <c r="NH11" s="126"/>
      <c r="NI11" s="126"/>
      <c r="NJ11" s="126"/>
      <c r="NK11" s="126"/>
      <c r="NL11" s="126"/>
      <c r="NM11" s="126"/>
      <c r="NN11" s="126"/>
      <c r="NO11" s="126"/>
      <c r="NP11" s="126"/>
      <c r="NQ11" s="126"/>
      <c r="NR11" s="126"/>
      <c r="NS11" s="126"/>
      <c r="NT11" s="126"/>
      <c r="NU11" s="126"/>
      <c r="NV11" s="126"/>
      <c r="NW11" s="126"/>
      <c r="NX11" s="126"/>
      <c r="NY11" s="126"/>
      <c r="NZ11" s="126"/>
      <c r="OA11" s="126"/>
      <c r="OB11" s="126"/>
      <c r="OC11" s="126"/>
      <c r="OD11" s="126"/>
      <c r="OE11" s="126"/>
      <c r="OF11" s="126"/>
      <c r="OG11" s="126"/>
      <c r="OH11" s="126"/>
      <c r="OI11" s="126"/>
      <c r="OJ11" s="126"/>
      <c r="OK11" s="126"/>
      <c r="OL11" s="126"/>
      <c r="OM11" s="126"/>
      <c r="ON11" s="126"/>
      <c r="OO11" s="126"/>
      <c r="OP11" s="126"/>
      <c r="OQ11" s="126"/>
      <c r="OR11" s="126"/>
      <c r="OS11" s="126"/>
      <c r="OT11" s="126"/>
      <c r="OU11" s="126"/>
      <c r="OV11" s="126"/>
      <c r="OW11" s="126"/>
      <c r="OX11" s="126"/>
      <c r="OY11" s="126"/>
      <c r="OZ11" s="126"/>
      <c r="PA11" s="126"/>
      <c r="PB11" s="126"/>
      <c r="PC11" s="126"/>
      <c r="PD11" s="126"/>
      <c r="PE11" s="126"/>
      <c r="PF11" s="126"/>
      <c r="PG11" s="126"/>
      <c r="PH11" s="126"/>
      <c r="PI11" s="126"/>
      <c r="PJ11" s="126"/>
      <c r="PK11" s="126"/>
      <c r="PL11" s="126"/>
      <c r="PM11" s="126"/>
      <c r="PN11" s="126"/>
      <c r="PO11" s="126"/>
      <c r="PP11" s="126"/>
      <c r="PQ11" s="126"/>
      <c r="PR11" s="126"/>
      <c r="PS11" s="126"/>
      <c r="PT11" s="126"/>
      <c r="PU11" s="126"/>
      <c r="PV11" s="126"/>
      <c r="PW11" s="126"/>
      <c r="PX11" s="126"/>
      <c r="PY11" s="126"/>
      <c r="PZ11" s="126"/>
      <c r="QA11" s="126"/>
      <c r="QB11" s="126"/>
      <c r="QC11" s="126"/>
      <c r="QD11" s="126"/>
      <c r="QE11" s="126"/>
      <c r="QF11" s="126"/>
      <c r="QG11" s="80"/>
      <c r="QH11" s="80"/>
      <c r="QI11" s="80"/>
      <c r="QJ11" s="80"/>
      <c r="QK11" s="80"/>
      <c r="QL11" s="80"/>
      <c r="QM11" s="80"/>
      <c r="QN11" s="80"/>
      <c r="QO11" s="80"/>
      <c r="QP11" s="80"/>
      <c r="QQ11" s="80"/>
      <c r="QR11" s="80"/>
      <c r="QS11" s="80"/>
      <c r="QT11" s="80"/>
      <c r="QU11" s="80"/>
    </row>
    <row r="12" spans="1:463" ht="57.75" customHeight="1">
      <c r="A12" s="128" t="s">
        <v>4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 t="s">
        <v>4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 t="s">
        <v>4</v>
      </c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 t="s">
        <v>4</v>
      </c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 t="s">
        <v>4</v>
      </c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 t="s">
        <v>4</v>
      </c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 t="s">
        <v>4</v>
      </c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8" t="s">
        <v>4</v>
      </c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 t="s">
        <v>4</v>
      </c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 t="s">
        <v>4</v>
      </c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 t="s">
        <v>4</v>
      </c>
      <c r="EL12" s="128"/>
      <c r="EM12" s="128"/>
      <c r="EN12" s="128"/>
      <c r="EO12" s="128"/>
      <c r="EP12" s="128"/>
      <c r="EQ12" s="128"/>
      <c r="ER12" s="128"/>
      <c r="ES12" s="128"/>
      <c r="ET12" s="128"/>
      <c r="EU12" s="128"/>
      <c r="EV12" s="128"/>
      <c r="EW12" s="128"/>
      <c r="EX12" s="128"/>
      <c r="EY12" s="128" t="s">
        <v>4</v>
      </c>
      <c r="EZ12" s="128"/>
      <c r="FA12" s="128"/>
      <c r="FB12" s="128"/>
      <c r="FC12" s="128"/>
      <c r="FD12" s="128"/>
      <c r="FE12" s="128"/>
      <c r="FF12" s="128"/>
      <c r="FG12" s="128"/>
      <c r="FH12" s="128"/>
      <c r="FI12" s="128"/>
      <c r="FJ12" s="128"/>
      <c r="FK12" s="128"/>
      <c r="FL12" s="128"/>
      <c r="FM12" s="128" t="s">
        <v>4</v>
      </c>
      <c r="FN12" s="128"/>
      <c r="FO12" s="128"/>
      <c r="FP12" s="128"/>
      <c r="FQ12" s="128"/>
      <c r="FR12" s="128"/>
      <c r="FS12" s="128"/>
      <c r="FT12" s="128"/>
      <c r="FU12" s="128"/>
      <c r="FV12" s="128"/>
      <c r="FW12" s="128"/>
      <c r="FX12" s="128"/>
      <c r="FY12" s="128"/>
      <c r="FZ12" s="128"/>
      <c r="GA12" s="128" t="s">
        <v>4</v>
      </c>
      <c r="GB12" s="128"/>
      <c r="GC12" s="128"/>
      <c r="GD12" s="128"/>
      <c r="GE12" s="128"/>
      <c r="GF12" s="128"/>
      <c r="GG12" s="128"/>
      <c r="GH12" s="128"/>
      <c r="GI12" s="128"/>
      <c r="GJ12" s="128"/>
      <c r="GK12" s="128"/>
      <c r="GL12" s="128"/>
      <c r="GM12" s="128"/>
      <c r="GN12" s="128"/>
      <c r="GO12" s="128" t="s">
        <v>4</v>
      </c>
      <c r="GP12" s="128"/>
      <c r="GQ12" s="128"/>
      <c r="GR12" s="128"/>
      <c r="GS12" s="128"/>
      <c r="GT12" s="128"/>
      <c r="GU12" s="128"/>
      <c r="GV12" s="128"/>
      <c r="GW12" s="128"/>
      <c r="GX12" s="128"/>
      <c r="GY12" s="128"/>
      <c r="GZ12" s="128"/>
      <c r="HA12" s="128"/>
      <c r="HB12" s="128"/>
      <c r="HC12" s="128" t="s">
        <v>4</v>
      </c>
      <c r="HD12" s="128"/>
      <c r="HE12" s="128"/>
      <c r="HF12" s="128"/>
      <c r="HG12" s="128"/>
      <c r="HH12" s="128"/>
      <c r="HI12" s="128"/>
      <c r="HJ12" s="128"/>
      <c r="HK12" s="128"/>
      <c r="HL12" s="128"/>
      <c r="HM12" s="128"/>
      <c r="HN12" s="128"/>
      <c r="HO12" s="128"/>
      <c r="HP12" s="128"/>
      <c r="HQ12" s="129" t="s">
        <v>4</v>
      </c>
      <c r="HR12" s="129"/>
      <c r="HS12" s="129"/>
      <c r="HT12" s="129"/>
      <c r="HU12" s="129"/>
      <c r="HV12" s="129"/>
      <c r="HW12" s="129"/>
      <c r="HX12" s="129"/>
      <c r="HY12" s="129"/>
      <c r="HZ12" s="129"/>
      <c r="IA12" s="129"/>
      <c r="IB12" s="129"/>
      <c r="IC12" s="129"/>
      <c r="ID12" s="129"/>
      <c r="IE12" s="129" t="s">
        <v>4</v>
      </c>
      <c r="IF12" s="129"/>
      <c r="IG12" s="129"/>
      <c r="IH12" s="129"/>
      <c r="II12" s="129"/>
      <c r="IJ12" s="129"/>
      <c r="IK12" s="129"/>
      <c r="IL12" s="129"/>
      <c r="IM12" s="129"/>
      <c r="IN12" s="129"/>
      <c r="IO12" s="129"/>
      <c r="IP12" s="129"/>
      <c r="IQ12" s="129"/>
      <c r="IR12" s="129"/>
      <c r="IS12" s="129" t="s">
        <v>4</v>
      </c>
      <c r="IT12" s="129"/>
      <c r="IU12" s="129"/>
      <c r="IV12" s="129"/>
      <c r="IW12" s="129"/>
      <c r="IX12" s="129"/>
      <c r="IY12" s="129"/>
      <c r="IZ12" s="129"/>
      <c r="JA12" s="129"/>
      <c r="JB12" s="129"/>
      <c r="JC12" s="129"/>
      <c r="JD12" s="129"/>
      <c r="JE12" s="129"/>
      <c r="JF12" s="129"/>
      <c r="JG12" s="129" t="s">
        <v>4</v>
      </c>
      <c r="JH12" s="129"/>
      <c r="JI12" s="129"/>
      <c r="JJ12" s="129"/>
      <c r="JK12" s="129"/>
      <c r="JL12" s="129"/>
      <c r="JM12" s="129"/>
      <c r="JN12" s="129"/>
      <c r="JO12" s="129"/>
      <c r="JP12" s="129"/>
      <c r="JQ12" s="129"/>
      <c r="JR12" s="129"/>
      <c r="JS12" s="129"/>
      <c r="JT12" s="129"/>
      <c r="JU12" s="129" t="s">
        <v>4</v>
      </c>
      <c r="JV12" s="129"/>
      <c r="JW12" s="129"/>
      <c r="JX12" s="129"/>
      <c r="JY12" s="129"/>
      <c r="JZ12" s="129"/>
      <c r="KA12" s="129"/>
      <c r="KB12" s="129"/>
      <c r="KC12" s="129"/>
      <c r="KD12" s="129"/>
      <c r="KE12" s="129"/>
      <c r="KF12" s="129"/>
      <c r="KG12" s="129"/>
      <c r="KH12" s="129"/>
      <c r="KI12" s="129" t="s">
        <v>4</v>
      </c>
      <c r="KJ12" s="129"/>
      <c r="KK12" s="129"/>
      <c r="KL12" s="129"/>
      <c r="KM12" s="129"/>
      <c r="KN12" s="129"/>
      <c r="KO12" s="129"/>
      <c r="KP12" s="129"/>
      <c r="KQ12" s="129"/>
      <c r="KR12" s="129"/>
      <c r="KS12" s="129"/>
      <c r="KT12" s="129"/>
      <c r="KU12" s="129"/>
      <c r="KV12" s="129"/>
      <c r="KW12" s="129" t="s">
        <v>4</v>
      </c>
      <c r="KX12" s="129"/>
      <c r="KY12" s="129"/>
      <c r="KZ12" s="129"/>
      <c r="LA12" s="129"/>
      <c r="LB12" s="129"/>
      <c r="LC12" s="129"/>
      <c r="LD12" s="129"/>
      <c r="LE12" s="129"/>
      <c r="LF12" s="129"/>
      <c r="LG12" s="129"/>
      <c r="LH12" s="129"/>
      <c r="LI12" s="129"/>
      <c r="LJ12" s="129"/>
      <c r="LK12" s="129" t="s">
        <v>4</v>
      </c>
      <c r="LL12" s="129"/>
      <c r="LM12" s="129"/>
      <c r="LN12" s="129"/>
      <c r="LO12" s="129"/>
      <c r="LP12" s="129"/>
      <c r="LQ12" s="129"/>
      <c r="LR12" s="129"/>
      <c r="LS12" s="129"/>
      <c r="LT12" s="129"/>
      <c r="LU12" s="129"/>
      <c r="LV12" s="129"/>
      <c r="LW12" s="129"/>
      <c r="LX12" s="129"/>
      <c r="LY12" s="129" t="s">
        <v>4</v>
      </c>
      <c r="LZ12" s="129"/>
      <c r="MA12" s="129"/>
      <c r="MB12" s="129"/>
      <c r="MC12" s="129"/>
      <c r="MD12" s="129"/>
      <c r="ME12" s="129"/>
      <c r="MF12" s="129"/>
      <c r="MG12" s="129"/>
      <c r="MH12" s="129"/>
      <c r="MI12" s="129"/>
      <c r="MJ12" s="129"/>
      <c r="MK12" s="129"/>
      <c r="ML12" s="129"/>
      <c r="MM12" s="129" t="s">
        <v>4</v>
      </c>
      <c r="MN12" s="129"/>
      <c r="MO12" s="129"/>
      <c r="MP12" s="129"/>
      <c r="MQ12" s="129"/>
      <c r="MR12" s="129"/>
      <c r="MS12" s="129"/>
      <c r="MT12" s="129"/>
      <c r="MU12" s="129"/>
      <c r="MV12" s="129"/>
      <c r="MW12" s="129"/>
      <c r="MX12" s="129"/>
      <c r="MY12" s="129"/>
      <c r="MZ12" s="129"/>
      <c r="NA12" s="129" t="s">
        <v>4</v>
      </c>
      <c r="NB12" s="129"/>
      <c r="NC12" s="129"/>
      <c r="ND12" s="129"/>
      <c r="NE12" s="129"/>
      <c r="NF12" s="129"/>
      <c r="NG12" s="129"/>
      <c r="NH12" s="129"/>
      <c r="NI12" s="129"/>
      <c r="NJ12" s="129"/>
      <c r="NK12" s="129"/>
      <c r="NL12" s="129"/>
      <c r="NM12" s="129"/>
      <c r="NN12" s="129"/>
      <c r="NO12" s="129" t="s">
        <v>4</v>
      </c>
      <c r="NP12" s="129"/>
      <c r="NQ12" s="129"/>
      <c r="NR12" s="129"/>
      <c r="NS12" s="129"/>
      <c r="NT12" s="129"/>
      <c r="NU12" s="129"/>
      <c r="NV12" s="129"/>
      <c r="NW12" s="129"/>
      <c r="NX12" s="129"/>
      <c r="NY12" s="129"/>
      <c r="NZ12" s="129"/>
      <c r="OA12" s="129"/>
      <c r="OB12" s="129"/>
      <c r="OC12" s="129" t="s">
        <v>4</v>
      </c>
      <c r="OD12" s="129"/>
      <c r="OE12" s="129"/>
      <c r="OF12" s="129"/>
      <c r="OG12" s="129"/>
      <c r="OH12" s="129"/>
      <c r="OI12" s="129"/>
      <c r="OJ12" s="129"/>
      <c r="OK12" s="129"/>
      <c r="OL12" s="129"/>
      <c r="OM12" s="129"/>
      <c r="ON12" s="129"/>
      <c r="OO12" s="129"/>
      <c r="OP12" s="129"/>
      <c r="OQ12" s="129" t="s">
        <v>4</v>
      </c>
      <c r="OR12" s="129"/>
      <c r="OS12" s="129"/>
      <c r="OT12" s="129"/>
      <c r="OU12" s="129"/>
      <c r="OV12" s="129"/>
      <c r="OW12" s="129"/>
      <c r="OX12" s="129"/>
      <c r="OY12" s="129"/>
      <c r="OZ12" s="129"/>
      <c r="PA12" s="129"/>
      <c r="PB12" s="129"/>
      <c r="PC12" s="129"/>
      <c r="PD12" s="129"/>
      <c r="PE12" s="129" t="s">
        <v>4</v>
      </c>
      <c r="PF12" s="129"/>
      <c r="PG12" s="129"/>
      <c r="PH12" s="129"/>
      <c r="PI12" s="129"/>
      <c r="PJ12" s="129"/>
      <c r="PK12" s="129"/>
      <c r="PL12" s="129"/>
      <c r="PM12" s="129"/>
      <c r="PN12" s="129"/>
      <c r="PO12" s="129"/>
      <c r="PP12" s="129"/>
      <c r="PQ12" s="129"/>
      <c r="PR12" s="129"/>
      <c r="PS12" s="129" t="s">
        <v>4</v>
      </c>
      <c r="PT12" s="129"/>
      <c r="PU12" s="129"/>
      <c r="PV12" s="129"/>
      <c r="PW12" s="129"/>
      <c r="PX12" s="129"/>
      <c r="PY12" s="129"/>
      <c r="PZ12" s="129"/>
      <c r="QA12" s="129"/>
      <c r="QB12" s="129"/>
      <c r="QC12" s="129"/>
      <c r="QD12" s="129"/>
      <c r="QE12" s="129"/>
      <c r="QF12" s="129"/>
      <c r="QG12" s="74"/>
      <c r="QH12" s="74"/>
      <c r="QI12" s="74"/>
      <c r="QJ12" s="74"/>
      <c r="QK12" s="74"/>
      <c r="QL12" s="74"/>
      <c r="QM12" s="74"/>
      <c r="QN12" s="74"/>
      <c r="QO12" s="74"/>
      <c r="QP12" s="74"/>
      <c r="QQ12" s="74"/>
      <c r="QR12" s="74"/>
      <c r="QS12" s="74"/>
      <c r="QT12" s="74"/>
      <c r="QU12" s="74"/>
    </row>
    <row r="13" spans="1:463" ht="60.75" customHeight="1">
      <c r="A13" s="127" t="s">
        <v>61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 t="s">
        <v>61</v>
      </c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 t="s">
        <v>61</v>
      </c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 t="s">
        <v>61</v>
      </c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 t="s">
        <v>61</v>
      </c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 t="s">
        <v>61</v>
      </c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  <c r="CF13" s="127"/>
      <c r="CG13" s="127" t="s">
        <v>61</v>
      </c>
      <c r="CH13" s="127"/>
      <c r="CI13" s="127"/>
      <c r="CJ13" s="127"/>
      <c r="CK13" s="127"/>
      <c r="CL13" s="127"/>
      <c r="CM13" s="127"/>
      <c r="CN13" s="127"/>
      <c r="CO13" s="127"/>
      <c r="CP13" s="127"/>
      <c r="CQ13" s="127"/>
      <c r="CR13" s="127"/>
      <c r="CS13" s="127"/>
      <c r="CT13" s="127"/>
      <c r="CU13" s="127" t="s">
        <v>61</v>
      </c>
      <c r="CV13" s="127"/>
      <c r="CW13" s="127"/>
      <c r="CX13" s="127"/>
      <c r="CY13" s="127"/>
      <c r="CZ13" s="127"/>
      <c r="DA13" s="127"/>
      <c r="DB13" s="127"/>
      <c r="DC13" s="127"/>
      <c r="DD13" s="127"/>
      <c r="DE13" s="127"/>
      <c r="DF13" s="127"/>
      <c r="DG13" s="127"/>
      <c r="DH13" s="127"/>
      <c r="DI13" s="127" t="s">
        <v>61</v>
      </c>
      <c r="DJ13" s="127"/>
      <c r="DK13" s="127"/>
      <c r="DL13" s="127"/>
      <c r="DM13" s="127"/>
      <c r="DN13" s="127"/>
      <c r="DO13" s="127"/>
      <c r="DP13" s="127"/>
      <c r="DQ13" s="127"/>
      <c r="DR13" s="127"/>
      <c r="DS13" s="127"/>
      <c r="DT13" s="127"/>
      <c r="DU13" s="127"/>
      <c r="DV13" s="127"/>
      <c r="DW13" s="127" t="s">
        <v>61</v>
      </c>
      <c r="DX13" s="127"/>
      <c r="DY13" s="127"/>
      <c r="DZ13" s="127"/>
      <c r="EA13" s="127"/>
      <c r="EB13" s="127"/>
      <c r="EC13" s="127"/>
      <c r="ED13" s="127"/>
      <c r="EE13" s="127"/>
      <c r="EF13" s="127"/>
      <c r="EG13" s="127"/>
      <c r="EH13" s="127"/>
      <c r="EI13" s="127"/>
      <c r="EJ13" s="127"/>
      <c r="EK13" s="127" t="s">
        <v>61</v>
      </c>
      <c r="EL13" s="127"/>
      <c r="EM13" s="127"/>
      <c r="EN13" s="127"/>
      <c r="EO13" s="127"/>
      <c r="EP13" s="127"/>
      <c r="EQ13" s="127"/>
      <c r="ER13" s="127"/>
      <c r="ES13" s="127"/>
      <c r="ET13" s="127"/>
      <c r="EU13" s="127"/>
      <c r="EV13" s="127"/>
      <c r="EW13" s="127"/>
      <c r="EX13" s="127"/>
      <c r="EY13" s="127" t="s">
        <v>61</v>
      </c>
      <c r="EZ13" s="127"/>
      <c r="FA13" s="127"/>
      <c r="FB13" s="127"/>
      <c r="FC13" s="127"/>
      <c r="FD13" s="127"/>
      <c r="FE13" s="127"/>
      <c r="FF13" s="127"/>
      <c r="FG13" s="127"/>
      <c r="FH13" s="127"/>
      <c r="FI13" s="127"/>
      <c r="FJ13" s="127"/>
      <c r="FK13" s="127"/>
      <c r="FL13" s="127"/>
      <c r="FM13" s="127" t="s">
        <v>61</v>
      </c>
      <c r="FN13" s="127"/>
      <c r="FO13" s="127"/>
      <c r="FP13" s="127"/>
      <c r="FQ13" s="127"/>
      <c r="FR13" s="127"/>
      <c r="FS13" s="127"/>
      <c r="FT13" s="127"/>
      <c r="FU13" s="127"/>
      <c r="FV13" s="127"/>
      <c r="FW13" s="127"/>
      <c r="FX13" s="127"/>
      <c r="FY13" s="127"/>
      <c r="FZ13" s="127"/>
      <c r="GA13" s="127" t="s">
        <v>61</v>
      </c>
      <c r="GB13" s="127"/>
      <c r="GC13" s="127"/>
      <c r="GD13" s="127"/>
      <c r="GE13" s="127"/>
      <c r="GF13" s="127"/>
      <c r="GG13" s="127"/>
      <c r="GH13" s="127"/>
      <c r="GI13" s="127"/>
      <c r="GJ13" s="127"/>
      <c r="GK13" s="127"/>
      <c r="GL13" s="127"/>
      <c r="GM13" s="127"/>
      <c r="GN13" s="127"/>
      <c r="GO13" s="127" t="s">
        <v>61</v>
      </c>
      <c r="GP13" s="127"/>
      <c r="GQ13" s="127"/>
      <c r="GR13" s="127"/>
      <c r="GS13" s="127"/>
      <c r="GT13" s="127"/>
      <c r="GU13" s="127"/>
      <c r="GV13" s="127"/>
      <c r="GW13" s="127"/>
      <c r="GX13" s="127"/>
      <c r="GY13" s="127"/>
      <c r="GZ13" s="127"/>
      <c r="HA13" s="127"/>
      <c r="HB13" s="127"/>
      <c r="HC13" s="127" t="s">
        <v>61</v>
      </c>
      <c r="HD13" s="127"/>
      <c r="HE13" s="127"/>
      <c r="HF13" s="127"/>
      <c r="HG13" s="127"/>
      <c r="HH13" s="127"/>
      <c r="HI13" s="127"/>
      <c r="HJ13" s="127"/>
      <c r="HK13" s="127"/>
      <c r="HL13" s="127"/>
      <c r="HM13" s="127"/>
      <c r="HN13" s="127"/>
      <c r="HO13" s="127"/>
      <c r="HP13" s="127"/>
      <c r="HQ13" s="130" t="s">
        <v>61</v>
      </c>
      <c r="HR13" s="130"/>
      <c r="HS13" s="130"/>
      <c r="HT13" s="130"/>
      <c r="HU13" s="130"/>
      <c r="HV13" s="130"/>
      <c r="HW13" s="130"/>
      <c r="HX13" s="130"/>
      <c r="HY13" s="130"/>
      <c r="HZ13" s="130"/>
      <c r="IA13" s="130"/>
      <c r="IB13" s="130"/>
      <c r="IC13" s="130"/>
      <c r="ID13" s="130"/>
      <c r="IE13" s="130" t="s">
        <v>61</v>
      </c>
      <c r="IF13" s="130"/>
      <c r="IG13" s="130"/>
      <c r="IH13" s="130"/>
      <c r="II13" s="130"/>
      <c r="IJ13" s="130"/>
      <c r="IK13" s="130"/>
      <c r="IL13" s="130"/>
      <c r="IM13" s="130"/>
      <c r="IN13" s="130"/>
      <c r="IO13" s="130"/>
      <c r="IP13" s="130"/>
      <c r="IQ13" s="130"/>
      <c r="IR13" s="130"/>
      <c r="IS13" s="130" t="s">
        <v>61</v>
      </c>
      <c r="IT13" s="130"/>
      <c r="IU13" s="130"/>
      <c r="IV13" s="130"/>
      <c r="IW13" s="130"/>
      <c r="IX13" s="130"/>
      <c r="IY13" s="130"/>
      <c r="IZ13" s="130"/>
      <c r="JA13" s="130"/>
      <c r="JB13" s="130"/>
      <c r="JC13" s="130"/>
      <c r="JD13" s="130"/>
      <c r="JE13" s="130"/>
      <c r="JF13" s="130"/>
      <c r="JG13" s="130" t="s">
        <v>61</v>
      </c>
      <c r="JH13" s="130"/>
      <c r="JI13" s="130"/>
      <c r="JJ13" s="130"/>
      <c r="JK13" s="130"/>
      <c r="JL13" s="130"/>
      <c r="JM13" s="130"/>
      <c r="JN13" s="130"/>
      <c r="JO13" s="130"/>
      <c r="JP13" s="130"/>
      <c r="JQ13" s="130"/>
      <c r="JR13" s="130"/>
      <c r="JS13" s="130"/>
      <c r="JT13" s="130"/>
      <c r="JU13" s="130" t="s">
        <v>61</v>
      </c>
      <c r="JV13" s="130"/>
      <c r="JW13" s="130"/>
      <c r="JX13" s="130"/>
      <c r="JY13" s="130"/>
      <c r="JZ13" s="130"/>
      <c r="KA13" s="130"/>
      <c r="KB13" s="130"/>
      <c r="KC13" s="130"/>
      <c r="KD13" s="130"/>
      <c r="KE13" s="130"/>
      <c r="KF13" s="130"/>
      <c r="KG13" s="130"/>
      <c r="KH13" s="130"/>
      <c r="KI13" s="130" t="s">
        <v>61</v>
      </c>
      <c r="KJ13" s="130"/>
      <c r="KK13" s="130"/>
      <c r="KL13" s="130"/>
      <c r="KM13" s="130"/>
      <c r="KN13" s="130"/>
      <c r="KO13" s="130"/>
      <c r="KP13" s="130"/>
      <c r="KQ13" s="130"/>
      <c r="KR13" s="130"/>
      <c r="KS13" s="130"/>
      <c r="KT13" s="130"/>
      <c r="KU13" s="130"/>
      <c r="KV13" s="130"/>
      <c r="KW13" s="130" t="s">
        <v>61</v>
      </c>
      <c r="KX13" s="130"/>
      <c r="KY13" s="130"/>
      <c r="KZ13" s="130"/>
      <c r="LA13" s="130"/>
      <c r="LB13" s="130"/>
      <c r="LC13" s="130"/>
      <c r="LD13" s="130"/>
      <c r="LE13" s="130"/>
      <c r="LF13" s="130"/>
      <c r="LG13" s="130"/>
      <c r="LH13" s="130"/>
      <c r="LI13" s="130"/>
      <c r="LJ13" s="130"/>
      <c r="LK13" s="130" t="s">
        <v>61</v>
      </c>
      <c r="LL13" s="130"/>
      <c r="LM13" s="130"/>
      <c r="LN13" s="130"/>
      <c r="LO13" s="130"/>
      <c r="LP13" s="130"/>
      <c r="LQ13" s="130"/>
      <c r="LR13" s="130"/>
      <c r="LS13" s="130"/>
      <c r="LT13" s="130"/>
      <c r="LU13" s="130"/>
      <c r="LV13" s="130"/>
      <c r="LW13" s="130"/>
      <c r="LX13" s="130"/>
      <c r="LY13" s="130" t="s">
        <v>61</v>
      </c>
      <c r="LZ13" s="130"/>
      <c r="MA13" s="130"/>
      <c r="MB13" s="130"/>
      <c r="MC13" s="130"/>
      <c r="MD13" s="130"/>
      <c r="ME13" s="130"/>
      <c r="MF13" s="130"/>
      <c r="MG13" s="130"/>
      <c r="MH13" s="130"/>
      <c r="MI13" s="130"/>
      <c r="MJ13" s="130"/>
      <c r="MK13" s="130"/>
      <c r="ML13" s="130"/>
      <c r="MM13" s="130" t="s">
        <v>61</v>
      </c>
      <c r="MN13" s="130"/>
      <c r="MO13" s="130"/>
      <c r="MP13" s="130"/>
      <c r="MQ13" s="130"/>
      <c r="MR13" s="130"/>
      <c r="MS13" s="130"/>
      <c r="MT13" s="130"/>
      <c r="MU13" s="130"/>
      <c r="MV13" s="130"/>
      <c r="MW13" s="130"/>
      <c r="MX13" s="130"/>
      <c r="MY13" s="130"/>
      <c r="MZ13" s="130"/>
      <c r="NA13" s="130" t="s">
        <v>61</v>
      </c>
      <c r="NB13" s="130"/>
      <c r="NC13" s="130"/>
      <c r="ND13" s="130"/>
      <c r="NE13" s="130"/>
      <c r="NF13" s="130"/>
      <c r="NG13" s="130"/>
      <c r="NH13" s="130"/>
      <c r="NI13" s="130"/>
      <c r="NJ13" s="130"/>
      <c r="NK13" s="130"/>
      <c r="NL13" s="130"/>
      <c r="NM13" s="130"/>
      <c r="NN13" s="130"/>
      <c r="NO13" s="130" t="s">
        <v>61</v>
      </c>
      <c r="NP13" s="130"/>
      <c r="NQ13" s="130"/>
      <c r="NR13" s="130"/>
      <c r="NS13" s="130"/>
      <c r="NT13" s="130"/>
      <c r="NU13" s="130"/>
      <c r="NV13" s="130"/>
      <c r="NW13" s="130"/>
      <c r="NX13" s="130"/>
      <c r="NY13" s="130"/>
      <c r="NZ13" s="130"/>
      <c r="OA13" s="130"/>
      <c r="OB13" s="130"/>
      <c r="OC13" s="130" t="s">
        <v>61</v>
      </c>
      <c r="OD13" s="130"/>
      <c r="OE13" s="130"/>
      <c r="OF13" s="130"/>
      <c r="OG13" s="130"/>
      <c r="OH13" s="130"/>
      <c r="OI13" s="130"/>
      <c r="OJ13" s="130"/>
      <c r="OK13" s="130"/>
      <c r="OL13" s="130"/>
      <c r="OM13" s="130"/>
      <c r="ON13" s="130"/>
      <c r="OO13" s="130"/>
      <c r="OP13" s="130"/>
      <c r="OQ13" s="130" t="s">
        <v>61</v>
      </c>
      <c r="OR13" s="130"/>
      <c r="OS13" s="130"/>
      <c r="OT13" s="130"/>
      <c r="OU13" s="130"/>
      <c r="OV13" s="130"/>
      <c r="OW13" s="130"/>
      <c r="OX13" s="130"/>
      <c r="OY13" s="130"/>
      <c r="OZ13" s="130"/>
      <c r="PA13" s="130"/>
      <c r="PB13" s="130"/>
      <c r="PC13" s="130"/>
      <c r="PD13" s="130"/>
      <c r="PE13" s="130" t="s">
        <v>61</v>
      </c>
      <c r="PF13" s="130"/>
      <c r="PG13" s="130"/>
      <c r="PH13" s="130"/>
      <c r="PI13" s="130"/>
      <c r="PJ13" s="130"/>
      <c r="PK13" s="130"/>
      <c r="PL13" s="130"/>
      <c r="PM13" s="130"/>
      <c r="PN13" s="130"/>
      <c r="PO13" s="130"/>
      <c r="PP13" s="130"/>
      <c r="PQ13" s="130"/>
      <c r="PR13" s="130"/>
      <c r="PS13" s="130" t="s">
        <v>61</v>
      </c>
      <c r="PT13" s="130"/>
      <c r="PU13" s="130"/>
      <c r="PV13" s="130"/>
      <c r="PW13" s="130"/>
      <c r="PX13" s="130"/>
      <c r="PY13" s="130"/>
      <c r="PZ13" s="130"/>
      <c r="QA13" s="130"/>
      <c r="QB13" s="130"/>
      <c r="QC13" s="130"/>
      <c r="QD13" s="130"/>
      <c r="QE13" s="130"/>
      <c r="QF13" s="130"/>
      <c r="QG13" s="74"/>
      <c r="QH13" s="74"/>
      <c r="QI13" s="74"/>
      <c r="QJ13" s="74"/>
      <c r="QK13" s="74"/>
      <c r="QL13" s="74"/>
      <c r="QM13" s="74"/>
      <c r="QN13" s="74"/>
      <c r="QO13" s="74"/>
      <c r="QP13" s="74"/>
      <c r="QQ13" s="74"/>
      <c r="QR13" s="74"/>
      <c r="QS13" s="74"/>
      <c r="QT13" s="74"/>
      <c r="QU13" s="74"/>
    </row>
    <row r="14" spans="1:463" ht="68.25" customHeight="1">
      <c r="A14" s="127" t="s">
        <v>51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 t="s">
        <v>51</v>
      </c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 t="s">
        <v>51</v>
      </c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 t="s">
        <v>51</v>
      </c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 t="s">
        <v>51</v>
      </c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 t="s">
        <v>51</v>
      </c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  <c r="CF14" s="127"/>
      <c r="CG14" s="127" t="s">
        <v>51</v>
      </c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7"/>
      <c r="CT14" s="127"/>
      <c r="CU14" s="127" t="s">
        <v>51</v>
      </c>
      <c r="CV14" s="127"/>
      <c r="CW14" s="127"/>
      <c r="CX14" s="127"/>
      <c r="CY14" s="127"/>
      <c r="CZ14" s="127"/>
      <c r="DA14" s="127"/>
      <c r="DB14" s="127"/>
      <c r="DC14" s="127"/>
      <c r="DD14" s="127"/>
      <c r="DE14" s="127"/>
      <c r="DF14" s="127"/>
      <c r="DG14" s="127"/>
      <c r="DH14" s="127"/>
      <c r="DI14" s="127" t="s">
        <v>51</v>
      </c>
      <c r="DJ14" s="127"/>
      <c r="DK14" s="127"/>
      <c r="DL14" s="127"/>
      <c r="DM14" s="127"/>
      <c r="DN14" s="127"/>
      <c r="DO14" s="127"/>
      <c r="DP14" s="127"/>
      <c r="DQ14" s="127"/>
      <c r="DR14" s="127"/>
      <c r="DS14" s="127"/>
      <c r="DT14" s="127"/>
      <c r="DU14" s="127"/>
      <c r="DV14" s="127"/>
      <c r="DW14" s="127" t="s">
        <v>51</v>
      </c>
      <c r="DX14" s="127"/>
      <c r="DY14" s="127"/>
      <c r="DZ14" s="127"/>
      <c r="EA14" s="127"/>
      <c r="EB14" s="127"/>
      <c r="EC14" s="127"/>
      <c r="ED14" s="127"/>
      <c r="EE14" s="127"/>
      <c r="EF14" s="127"/>
      <c r="EG14" s="127"/>
      <c r="EH14" s="127"/>
      <c r="EI14" s="127"/>
      <c r="EJ14" s="127"/>
      <c r="EK14" s="127" t="s">
        <v>51</v>
      </c>
      <c r="EL14" s="127"/>
      <c r="EM14" s="127"/>
      <c r="EN14" s="127"/>
      <c r="EO14" s="127"/>
      <c r="EP14" s="127"/>
      <c r="EQ14" s="127"/>
      <c r="ER14" s="127"/>
      <c r="ES14" s="127"/>
      <c r="ET14" s="127"/>
      <c r="EU14" s="127"/>
      <c r="EV14" s="127"/>
      <c r="EW14" s="127"/>
      <c r="EX14" s="127"/>
      <c r="EY14" s="127" t="s">
        <v>51</v>
      </c>
      <c r="EZ14" s="127"/>
      <c r="FA14" s="127"/>
      <c r="FB14" s="127"/>
      <c r="FC14" s="127"/>
      <c r="FD14" s="127"/>
      <c r="FE14" s="127"/>
      <c r="FF14" s="127"/>
      <c r="FG14" s="127"/>
      <c r="FH14" s="127"/>
      <c r="FI14" s="127"/>
      <c r="FJ14" s="127"/>
      <c r="FK14" s="127"/>
      <c r="FL14" s="127"/>
      <c r="FM14" s="127" t="s">
        <v>51</v>
      </c>
      <c r="FN14" s="127"/>
      <c r="FO14" s="127"/>
      <c r="FP14" s="127"/>
      <c r="FQ14" s="127"/>
      <c r="FR14" s="127"/>
      <c r="FS14" s="127"/>
      <c r="FT14" s="127"/>
      <c r="FU14" s="127"/>
      <c r="FV14" s="127"/>
      <c r="FW14" s="127"/>
      <c r="FX14" s="127"/>
      <c r="FY14" s="127"/>
      <c r="FZ14" s="127"/>
      <c r="GA14" s="127" t="s">
        <v>51</v>
      </c>
      <c r="GB14" s="127"/>
      <c r="GC14" s="127"/>
      <c r="GD14" s="127"/>
      <c r="GE14" s="127"/>
      <c r="GF14" s="127"/>
      <c r="GG14" s="127"/>
      <c r="GH14" s="127"/>
      <c r="GI14" s="127"/>
      <c r="GJ14" s="127"/>
      <c r="GK14" s="127"/>
      <c r="GL14" s="127"/>
      <c r="GM14" s="127"/>
      <c r="GN14" s="127"/>
      <c r="GO14" s="127" t="s">
        <v>51</v>
      </c>
      <c r="GP14" s="127"/>
      <c r="GQ14" s="127"/>
      <c r="GR14" s="127"/>
      <c r="GS14" s="127"/>
      <c r="GT14" s="127"/>
      <c r="GU14" s="127"/>
      <c r="GV14" s="127"/>
      <c r="GW14" s="127"/>
      <c r="GX14" s="127"/>
      <c r="GY14" s="127"/>
      <c r="GZ14" s="127"/>
      <c r="HA14" s="127"/>
      <c r="HB14" s="127"/>
      <c r="HC14" s="127" t="s">
        <v>51</v>
      </c>
      <c r="HD14" s="127"/>
      <c r="HE14" s="127"/>
      <c r="HF14" s="127"/>
      <c r="HG14" s="127"/>
      <c r="HH14" s="127"/>
      <c r="HI14" s="127"/>
      <c r="HJ14" s="127"/>
      <c r="HK14" s="127"/>
      <c r="HL14" s="127"/>
      <c r="HM14" s="127"/>
      <c r="HN14" s="127"/>
      <c r="HO14" s="127"/>
      <c r="HP14" s="127"/>
      <c r="HQ14" s="130" t="s">
        <v>51</v>
      </c>
      <c r="HR14" s="130"/>
      <c r="HS14" s="130"/>
      <c r="HT14" s="130"/>
      <c r="HU14" s="130"/>
      <c r="HV14" s="130"/>
      <c r="HW14" s="130"/>
      <c r="HX14" s="130"/>
      <c r="HY14" s="130"/>
      <c r="HZ14" s="130"/>
      <c r="IA14" s="130"/>
      <c r="IB14" s="130"/>
      <c r="IC14" s="130"/>
      <c r="ID14" s="130"/>
      <c r="IE14" s="130" t="s">
        <v>51</v>
      </c>
      <c r="IF14" s="130"/>
      <c r="IG14" s="130"/>
      <c r="IH14" s="130"/>
      <c r="II14" s="130"/>
      <c r="IJ14" s="130"/>
      <c r="IK14" s="130"/>
      <c r="IL14" s="130"/>
      <c r="IM14" s="130"/>
      <c r="IN14" s="130"/>
      <c r="IO14" s="130"/>
      <c r="IP14" s="130"/>
      <c r="IQ14" s="130"/>
      <c r="IR14" s="130"/>
      <c r="IS14" s="130" t="s">
        <v>51</v>
      </c>
      <c r="IT14" s="130"/>
      <c r="IU14" s="130"/>
      <c r="IV14" s="130"/>
      <c r="IW14" s="130"/>
      <c r="IX14" s="130"/>
      <c r="IY14" s="130"/>
      <c r="IZ14" s="130"/>
      <c r="JA14" s="130"/>
      <c r="JB14" s="130"/>
      <c r="JC14" s="130"/>
      <c r="JD14" s="130"/>
      <c r="JE14" s="130"/>
      <c r="JF14" s="130"/>
      <c r="JG14" s="130" t="s">
        <v>51</v>
      </c>
      <c r="JH14" s="130"/>
      <c r="JI14" s="130"/>
      <c r="JJ14" s="130"/>
      <c r="JK14" s="130"/>
      <c r="JL14" s="130"/>
      <c r="JM14" s="130"/>
      <c r="JN14" s="130"/>
      <c r="JO14" s="130"/>
      <c r="JP14" s="130"/>
      <c r="JQ14" s="130"/>
      <c r="JR14" s="130"/>
      <c r="JS14" s="130"/>
      <c r="JT14" s="130"/>
      <c r="JU14" s="130" t="s">
        <v>51</v>
      </c>
      <c r="JV14" s="130"/>
      <c r="JW14" s="130"/>
      <c r="JX14" s="130"/>
      <c r="JY14" s="130"/>
      <c r="JZ14" s="130"/>
      <c r="KA14" s="130"/>
      <c r="KB14" s="130"/>
      <c r="KC14" s="130"/>
      <c r="KD14" s="130"/>
      <c r="KE14" s="130"/>
      <c r="KF14" s="130"/>
      <c r="KG14" s="130"/>
      <c r="KH14" s="130"/>
      <c r="KI14" s="130" t="s">
        <v>51</v>
      </c>
      <c r="KJ14" s="130"/>
      <c r="KK14" s="130"/>
      <c r="KL14" s="130"/>
      <c r="KM14" s="130"/>
      <c r="KN14" s="130"/>
      <c r="KO14" s="130"/>
      <c r="KP14" s="130"/>
      <c r="KQ14" s="130"/>
      <c r="KR14" s="130"/>
      <c r="KS14" s="130"/>
      <c r="KT14" s="130"/>
      <c r="KU14" s="130"/>
      <c r="KV14" s="130"/>
      <c r="KW14" s="130" t="s">
        <v>51</v>
      </c>
      <c r="KX14" s="130"/>
      <c r="KY14" s="130"/>
      <c r="KZ14" s="130"/>
      <c r="LA14" s="130"/>
      <c r="LB14" s="130"/>
      <c r="LC14" s="130"/>
      <c r="LD14" s="130"/>
      <c r="LE14" s="130"/>
      <c r="LF14" s="130"/>
      <c r="LG14" s="130"/>
      <c r="LH14" s="130"/>
      <c r="LI14" s="130"/>
      <c r="LJ14" s="130"/>
      <c r="LK14" s="130" t="s">
        <v>51</v>
      </c>
      <c r="LL14" s="130"/>
      <c r="LM14" s="130"/>
      <c r="LN14" s="130"/>
      <c r="LO14" s="130"/>
      <c r="LP14" s="130"/>
      <c r="LQ14" s="130"/>
      <c r="LR14" s="130"/>
      <c r="LS14" s="130"/>
      <c r="LT14" s="130"/>
      <c r="LU14" s="130"/>
      <c r="LV14" s="130"/>
      <c r="LW14" s="130"/>
      <c r="LX14" s="130"/>
      <c r="LY14" s="130" t="s">
        <v>51</v>
      </c>
      <c r="LZ14" s="130"/>
      <c r="MA14" s="130"/>
      <c r="MB14" s="130"/>
      <c r="MC14" s="130"/>
      <c r="MD14" s="130"/>
      <c r="ME14" s="130"/>
      <c r="MF14" s="130"/>
      <c r="MG14" s="130"/>
      <c r="MH14" s="130"/>
      <c r="MI14" s="130"/>
      <c r="MJ14" s="130"/>
      <c r="MK14" s="130"/>
      <c r="ML14" s="130"/>
      <c r="MM14" s="130" t="s">
        <v>51</v>
      </c>
      <c r="MN14" s="130"/>
      <c r="MO14" s="130"/>
      <c r="MP14" s="130"/>
      <c r="MQ14" s="130"/>
      <c r="MR14" s="130"/>
      <c r="MS14" s="130"/>
      <c r="MT14" s="130"/>
      <c r="MU14" s="130"/>
      <c r="MV14" s="130"/>
      <c r="MW14" s="130"/>
      <c r="MX14" s="130"/>
      <c r="MY14" s="130"/>
      <c r="MZ14" s="130"/>
      <c r="NA14" s="130" t="s">
        <v>51</v>
      </c>
      <c r="NB14" s="130"/>
      <c r="NC14" s="130"/>
      <c r="ND14" s="130"/>
      <c r="NE14" s="130"/>
      <c r="NF14" s="130"/>
      <c r="NG14" s="130"/>
      <c r="NH14" s="130"/>
      <c r="NI14" s="130"/>
      <c r="NJ14" s="130"/>
      <c r="NK14" s="130"/>
      <c r="NL14" s="130"/>
      <c r="NM14" s="130"/>
      <c r="NN14" s="130"/>
      <c r="NO14" s="130" t="s">
        <v>51</v>
      </c>
      <c r="NP14" s="130"/>
      <c r="NQ14" s="130"/>
      <c r="NR14" s="130"/>
      <c r="NS14" s="130"/>
      <c r="NT14" s="130"/>
      <c r="NU14" s="130"/>
      <c r="NV14" s="130"/>
      <c r="NW14" s="130"/>
      <c r="NX14" s="130"/>
      <c r="NY14" s="130"/>
      <c r="NZ14" s="130"/>
      <c r="OA14" s="130"/>
      <c r="OB14" s="130"/>
      <c r="OC14" s="130" t="s">
        <v>51</v>
      </c>
      <c r="OD14" s="130"/>
      <c r="OE14" s="130"/>
      <c r="OF14" s="130"/>
      <c r="OG14" s="130"/>
      <c r="OH14" s="130"/>
      <c r="OI14" s="130"/>
      <c r="OJ14" s="130"/>
      <c r="OK14" s="130"/>
      <c r="OL14" s="130"/>
      <c r="OM14" s="130"/>
      <c r="ON14" s="130"/>
      <c r="OO14" s="130"/>
      <c r="OP14" s="130"/>
      <c r="OQ14" s="130" t="s">
        <v>51</v>
      </c>
      <c r="OR14" s="130"/>
      <c r="OS14" s="130"/>
      <c r="OT14" s="130"/>
      <c r="OU14" s="130"/>
      <c r="OV14" s="130"/>
      <c r="OW14" s="130"/>
      <c r="OX14" s="130"/>
      <c r="OY14" s="130"/>
      <c r="OZ14" s="130"/>
      <c r="PA14" s="130"/>
      <c r="PB14" s="130"/>
      <c r="PC14" s="130"/>
      <c r="PD14" s="130"/>
      <c r="PE14" s="130" t="s">
        <v>51</v>
      </c>
      <c r="PF14" s="130"/>
      <c r="PG14" s="130"/>
      <c r="PH14" s="130"/>
      <c r="PI14" s="130"/>
      <c r="PJ14" s="130"/>
      <c r="PK14" s="130"/>
      <c r="PL14" s="130"/>
      <c r="PM14" s="130"/>
      <c r="PN14" s="130"/>
      <c r="PO14" s="130"/>
      <c r="PP14" s="130"/>
      <c r="PQ14" s="130"/>
      <c r="PR14" s="130"/>
      <c r="PS14" s="130" t="s">
        <v>51</v>
      </c>
      <c r="PT14" s="130"/>
      <c r="PU14" s="130"/>
      <c r="PV14" s="130"/>
      <c r="PW14" s="130"/>
      <c r="PX14" s="130"/>
      <c r="PY14" s="130"/>
      <c r="PZ14" s="130"/>
      <c r="QA14" s="130"/>
      <c r="QB14" s="130"/>
      <c r="QC14" s="130"/>
      <c r="QD14" s="130"/>
      <c r="QE14" s="130"/>
      <c r="QF14" s="130"/>
      <c r="QG14" s="81"/>
      <c r="QH14" s="81"/>
      <c r="QI14" s="81"/>
      <c r="QJ14" s="81"/>
      <c r="QK14" s="81"/>
      <c r="QL14" s="81"/>
      <c r="QM14" s="81"/>
      <c r="QN14" s="81"/>
      <c r="QO14" s="81"/>
      <c r="QP14" s="81"/>
      <c r="QQ14" s="81"/>
      <c r="QR14" s="81"/>
      <c r="QS14" s="81"/>
      <c r="QT14" s="81"/>
      <c r="QU14" s="81"/>
    </row>
    <row r="16" spans="1:463">
      <c r="EV16" t="s">
        <v>16</v>
      </c>
    </row>
    <row r="18" ht="15" customHeight="1"/>
    <row r="19" ht="15" customHeight="1"/>
  </sheetData>
  <mergeCells count="128">
    <mergeCell ref="PS11:QF11"/>
    <mergeCell ref="PS12:QF12"/>
    <mergeCell ref="PS13:QF13"/>
    <mergeCell ref="PS14:QF14"/>
    <mergeCell ref="OQ11:PD11"/>
    <mergeCell ref="OQ12:PD12"/>
    <mergeCell ref="OQ13:PD13"/>
    <mergeCell ref="OQ14:PD14"/>
    <mergeCell ref="PE11:PR11"/>
    <mergeCell ref="PE12:PR12"/>
    <mergeCell ref="PE13:PR13"/>
    <mergeCell ref="PE14:PR14"/>
    <mergeCell ref="NO11:OB11"/>
    <mergeCell ref="NO12:OB12"/>
    <mergeCell ref="NO13:OB13"/>
    <mergeCell ref="NO14:OB14"/>
    <mergeCell ref="OC11:OP11"/>
    <mergeCell ref="OC12:OP12"/>
    <mergeCell ref="OC13:OP13"/>
    <mergeCell ref="OC14:OP14"/>
    <mergeCell ref="MM12:MZ12"/>
    <mergeCell ref="MM13:MZ13"/>
    <mergeCell ref="MM14:MZ14"/>
    <mergeCell ref="NA11:NN11"/>
    <mergeCell ref="NA12:NN12"/>
    <mergeCell ref="NA13:NN13"/>
    <mergeCell ref="NA14:NN14"/>
    <mergeCell ref="LK12:LX12"/>
    <mergeCell ref="LK13:LX13"/>
    <mergeCell ref="LK14:LX14"/>
    <mergeCell ref="LY11:ML11"/>
    <mergeCell ref="LY12:ML12"/>
    <mergeCell ref="LY13:ML13"/>
    <mergeCell ref="LY14:ML14"/>
    <mergeCell ref="KI12:KV12"/>
    <mergeCell ref="KI13:KV13"/>
    <mergeCell ref="KI14:KV14"/>
    <mergeCell ref="KW11:LJ11"/>
    <mergeCell ref="KW12:LJ12"/>
    <mergeCell ref="KW13:LJ13"/>
    <mergeCell ref="KW14:LJ14"/>
    <mergeCell ref="JG12:JT12"/>
    <mergeCell ref="JG13:JT13"/>
    <mergeCell ref="JG14:JT14"/>
    <mergeCell ref="JU11:KH11"/>
    <mergeCell ref="JU12:KH12"/>
    <mergeCell ref="JU13:KH13"/>
    <mergeCell ref="JU14:KH14"/>
    <mergeCell ref="IE12:IR12"/>
    <mergeCell ref="IE13:IR13"/>
    <mergeCell ref="IE14:IR14"/>
    <mergeCell ref="IS11:JF11"/>
    <mergeCell ref="IS12:JF12"/>
    <mergeCell ref="IS13:JF13"/>
    <mergeCell ref="IS14:JF14"/>
    <mergeCell ref="HC12:HP12"/>
    <mergeCell ref="HC13:HP13"/>
    <mergeCell ref="HC14:HP14"/>
    <mergeCell ref="HQ11:ID11"/>
    <mergeCell ref="HQ12:ID12"/>
    <mergeCell ref="HQ13:ID13"/>
    <mergeCell ref="HQ14:ID14"/>
    <mergeCell ref="GA12:GN12"/>
    <mergeCell ref="GA13:GN13"/>
    <mergeCell ref="GA14:GN14"/>
    <mergeCell ref="GO11:HB11"/>
    <mergeCell ref="GO12:HB12"/>
    <mergeCell ref="GO13:HB13"/>
    <mergeCell ref="GO14:HB14"/>
    <mergeCell ref="EY12:FL12"/>
    <mergeCell ref="EY13:FL13"/>
    <mergeCell ref="EY14:FL14"/>
    <mergeCell ref="FM11:FZ11"/>
    <mergeCell ref="FM12:FZ12"/>
    <mergeCell ref="FM13:FZ13"/>
    <mergeCell ref="FM14:FZ14"/>
    <mergeCell ref="DW12:EJ12"/>
    <mergeCell ref="DW13:EJ13"/>
    <mergeCell ref="DW14:EJ14"/>
    <mergeCell ref="EK11:EX11"/>
    <mergeCell ref="EK12:EX12"/>
    <mergeCell ref="EK13:EX13"/>
    <mergeCell ref="EK14:EX14"/>
    <mergeCell ref="DI11:DV11"/>
    <mergeCell ref="DI12:DV12"/>
    <mergeCell ref="DI13:DV13"/>
    <mergeCell ref="DI14:DV14"/>
    <mergeCell ref="BS12:CF12"/>
    <mergeCell ref="BS13:CF13"/>
    <mergeCell ref="BS14:CF14"/>
    <mergeCell ref="CG11:CT11"/>
    <mergeCell ref="CG12:CT12"/>
    <mergeCell ref="CG13:CT13"/>
    <mergeCell ref="CG14:CT14"/>
    <mergeCell ref="AQ12:BD12"/>
    <mergeCell ref="AQ13:BD13"/>
    <mergeCell ref="AQ14:BD14"/>
    <mergeCell ref="BE11:BR11"/>
    <mergeCell ref="BE12:BR12"/>
    <mergeCell ref="BE13:BR13"/>
    <mergeCell ref="BE14:BR14"/>
    <mergeCell ref="CU12:DH12"/>
    <mergeCell ref="CU13:DH13"/>
    <mergeCell ref="CU14:DH14"/>
    <mergeCell ref="A11:N11"/>
    <mergeCell ref="A13:N13"/>
    <mergeCell ref="A14:N14"/>
    <mergeCell ref="A12:N12"/>
    <mergeCell ref="O11:AB11"/>
    <mergeCell ref="KI11:KV11"/>
    <mergeCell ref="LK11:LX11"/>
    <mergeCell ref="MM11:MZ11"/>
    <mergeCell ref="IE11:IR11"/>
    <mergeCell ref="JG11:JT11"/>
    <mergeCell ref="GA11:GN11"/>
    <mergeCell ref="HC11:HP11"/>
    <mergeCell ref="DW11:EJ11"/>
    <mergeCell ref="EY11:FL11"/>
    <mergeCell ref="BS11:CF11"/>
    <mergeCell ref="CU11:DH11"/>
    <mergeCell ref="AQ11:BD11"/>
    <mergeCell ref="O12:AB12"/>
    <mergeCell ref="O13:AB13"/>
    <mergeCell ref="O14:AB14"/>
    <mergeCell ref="AC11:AP11"/>
    <mergeCell ref="AC12:AP12"/>
    <mergeCell ref="AC13:AP13"/>
    <mergeCell ref="AC14:AP14"/>
  </mergeCells>
  <pageMargins left="0.5" right="0" top="0.25" bottom="0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A2" sqref="A2:I2"/>
    </sheetView>
  </sheetViews>
  <sheetFormatPr defaultRowHeight="14.4"/>
  <cols>
    <col min="1" max="1" width="8.33203125" customWidth="1"/>
    <col min="2" max="2" width="2.5546875" bestFit="1" customWidth="1"/>
    <col min="3" max="3" width="8.33203125" customWidth="1"/>
    <col min="4" max="4" width="2.5546875" bestFit="1" customWidth="1"/>
    <col min="5" max="5" width="8.33203125" customWidth="1"/>
    <col min="6" max="7" width="5.5546875" customWidth="1"/>
    <col min="8" max="8" width="25.44140625" customWidth="1"/>
    <col min="9" max="9" width="22.6640625" customWidth="1"/>
  </cols>
  <sheetData>
    <row r="1" spans="1:9" ht="23.4">
      <c r="A1" s="131" t="s">
        <v>18</v>
      </c>
      <c r="B1" s="131"/>
      <c r="C1" s="131"/>
      <c r="D1" s="131"/>
      <c r="E1" s="131"/>
      <c r="F1" s="131"/>
      <c r="G1" s="131"/>
      <c r="H1" s="131"/>
      <c r="I1" s="131"/>
    </row>
    <row r="2" spans="1:9" ht="18">
      <c r="A2" s="132" t="s">
        <v>90</v>
      </c>
      <c r="B2" s="132"/>
      <c r="C2" s="132"/>
      <c r="D2" s="132"/>
      <c r="E2" s="132"/>
      <c r="F2" s="132"/>
      <c r="G2" s="132"/>
      <c r="H2" s="132"/>
      <c r="I2" s="132"/>
    </row>
    <row r="3" spans="1:9" ht="18">
      <c r="A3" s="132" t="s">
        <v>89</v>
      </c>
      <c r="B3" s="132"/>
      <c r="C3" s="132"/>
      <c r="D3" s="132"/>
      <c r="E3" s="132"/>
      <c r="F3" s="132"/>
      <c r="G3" s="132"/>
      <c r="H3" s="132"/>
      <c r="I3" s="132"/>
    </row>
    <row r="4" spans="1:9" ht="18">
      <c r="A4" s="132" t="s">
        <v>76</v>
      </c>
      <c r="B4" s="132"/>
      <c r="C4" s="132"/>
      <c r="D4" s="132"/>
      <c r="E4" s="132"/>
      <c r="F4" s="132"/>
      <c r="G4" s="132"/>
      <c r="H4" s="132"/>
      <c r="I4" s="132"/>
    </row>
    <row r="5" spans="1:9" ht="17.399999999999999">
      <c r="A5" s="133" t="s">
        <v>19</v>
      </c>
      <c r="B5" s="134"/>
      <c r="C5" s="134"/>
      <c r="D5" s="134"/>
      <c r="E5" s="134"/>
      <c r="F5" s="134"/>
      <c r="G5" s="135"/>
      <c r="H5" s="3" t="s">
        <v>20</v>
      </c>
      <c r="I5" s="3" t="s">
        <v>21</v>
      </c>
    </row>
    <row r="6" spans="1:9" ht="17.399999999999999">
      <c r="A6" s="7">
        <f>+Main!B3</f>
        <v>2500</v>
      </c>
      <c r="B6" s="8" t="s">
        <v>22</v>
      </c>
      <c r="C6" s="8">
        <f>+Main!C3</f>
        <v>1220</v>
      </c>
      <c r="D6" s="8" t="s">
        <v>22</v>
      </c>
      <c r="E6" s="8">
        <f>+Main!D3</f>
        <v>5</v>
      </c>
      <c r="F6" s="8" t="s">
        <v>23</v>
      </c>
      <c r="G6" s="6"/>
      <c r="H6" s="6">
        <v>1</v>
      </c>
      <c r="I6" s="4">
        <f>+Main!F3</f>
        <v>176</v>
      </c>
    </row>
    <row r="7" spans="1:9" ht="17.399999999999999">
      <c r="A7" s="7">
        <f>+Main!B4</f>
        <v>2500</v>
      </c>
      <c r="B7" s="8" t="s">
        <v>22</v>
      </c>
      <c r="C7" s="8">
        <f>+Main!C4</f>
        <v>1220</v>
      </c>
      <c r="D7" s="8" t="s">
        <v>22</v>
      </c>
      <c r="E7" s="8">
        <f>+Main!D4</f>
        <v>10</v>
      </c>
      <c r="F7" s="8" t="s">
        <v>23</v>
      </c>
      <c r="G7" s="6"/>
      <c r="H7" s="6">
        <v>2</v>
      </c>
      <c r="I7" s="4">
        <f>+Main!F4</f>
        <v>88</v>
      </c>
    </row>
    <row r="8" spans="1:9" ht="17.399999999999999">
      <c r="A8" s="7">
        <f>+Main!B5</f>
        <v>2500</v>
      </c>
      <c r="B8" s="8" t="s">
        <v>22</v>
      </c>
      <c r="C8" s="8">
        <f>+Main!C5</f>
        <v>1220</v>
      </c>
      <c r="D8" s="8" t="s">
        <v>22</v>
      </c>
      <c r="E8" s="8">
        <f>+Main!D5</f>
        <v>10</v>
      </c>
      <c r="F8" s="8" t="s">
        <v>23</v>
      </c>
      <c r="G8" s="6"/>
      <c r="H8" s="6">
        <v>3</v>
      </c>
      <c r="I8" s="4">
        <f>+Main!F5</f>
        <v>88</v>
      </c>
    </row>
    <row r="9" spans="1:9" ht="17.399999999999999">
      <c r="A9" s="7">
        <f>+Main!B6</f>
        <v>2500</v>
      </c>
      <c r="B9" s="8" t="s">
        <v>22</v>
      </c>
      <c r="C9" s="8">
        <f>+Main!C6</f>
        <v>1220</v>
      </c>
      <c r="D9" s="8" t="s">
        <v>22</v>
      </c>
      <c r="E9" s="8">
        <f>+Main!D6</f>
        <v>22</v>
      </c>
      <c r="F9" s="8" t="s">
        <v>23</v>
      </c>
      <c r="G9" s="6"/>
      <c r="H9" s="6">
        <v>4</v>
      </c>
      <c r="I9" s="4">
        <f>+Main!F6</f>
        <v>40</v>
      </c>
    </row>
    <row r="10" spans="1:9" ht="17.399999999999999">
      <c r="A10" s="7">
        <f>+Main!B7</f>
        <v>3100</v>
      </c>
      <c r="B10" s="8" t="s">
        <v>22</v>
      </c>
      <c r="C10" s="8">
        <f>+Main!C7</f>
        <v>1530</v>
      </c>
      <c r="D10" s="8" t="s">
        <v>22</v>
      </c>
      <c r="E10" s="8">
        <f>+Main!D7</f>
        <v>10</v>
      </c>
      <c r="F10" s="8" t="s">
        <v>23</v>
      </c>
      <c r="G10" s="6"/>
      <c r="H10" s="6">
        <v>5</v>
      </c>
      <c r="I10" s="4">
        <f>+Main!F7</f>
        <v>67</v>
      </c>
    </row>
    <row r="11" spans="1:9" ht="17.399999999999999">
      <c r="A11" s="7">
        <f>+Main!B8</f>
        <v>3100</v>
      </c>
      <c r="B11" s="8" t="s">
        <v>22</v>
      </c>
      <c r="C11" s="8">
        <f>+Main!C8</f>
        <v>1530</v>
      </c>
      <c r="D11" s="8" t="s">
        <v>22</v>
      </c>
      <c r="E11" s="8">
        <f>+Main!D8</f>
        <v>10</v>
      </c>
      <c r="F11" s="8" t="s">
        <v>23</v>
      </c>
      <c r="G11" s="6"/>
      <c r="H11" s="6">
        <v>6</v>
      </c>
      <c r="I11" s="4">
        <f>+Main!F8</f>
        <v>67</v>
      </c>
    </row>
    <row r="12" spans="1:9" ht="17.399999999999999">
      <c r="A12" s="7">
        <f>+Main!B9</f>
        <v>3100</v>
      </c>
      <c r="B12" s="8" t="s">
        <v>22</v>
      </c>
      <c r="C12" s="8">
        <f>+Main!C9</f>
        <v>1530</v>
      </c>
      <c r="D12" s="8" t="s">
        <v>22</v>
      </c>
      <c r="E12" s="8">
        <f>+Main!D9</f>
        <v>10</v>
      </c>
      <c r="F12" s="8" t="s">
        <v>23</v>
      </c>
      <c r="G12" s="6"/>
      <c r="H12" s="6">
        <v>7</v>
      </c>
      <c r="I12" s="4">
        <f>+Main!F9</f>
        <v>67</v>
      </c>
    </row>
    <row r="13" spans="1:9" ht="17.399999999999999">
      <c r="A13" s="7">
        <f>+Main!B10</f>
        <v>3100</v>
      </c>
      <c r="B13" s="8" t="s">
        <v>22</v>
      </c>
      <c r="C13" s="8">
        <f>+Main!C10</f>
        <v>1530</v>
      </c>
      <c r="D13" s="8" t="s">
        <v>22</v>
      </c>
      <c r="E13" s="8">
        <f>+Main!D10</f>
        <v>10</v>
      </c>
      <c r="F13" s="8" t="s">
        <v>23</v>
      </c>
      <c r="G13" s="6"/>
      <c r="H13" s="6">
        <v>8</v>
      </c>
      <c r="I13" s="4">
        <f>+Main!F10</f>
        <v>67</v>
      </c>
    </row>
    <row r="14" spans="1:9" ht="17.399999999999999">
      <c r="A14" s="7">
        <f>+Main!B11</f>
        <v>3100</v>
      </c>
      <c r="B14" s="8" t="s">
        <v>22</v>
      </c>
      <c r="C14" s="8">
        <f>+Main!C11</f>
        <v>1530</v>
      </c>
      <c r="D14" s="8" t="s">
        <v>22</v>
      </c>
      <c r="E14" s="8">
        <f>+Main!D11</f>
        <v>10</v>
      </c>
      <c r="F14" s="8" t="s">
        <v>23</v>
      </c>
      <c r="G14" s="6"/>
      <c r="H14" s="6">
        <v>9</v>
      </c>
      <c r="I14" s="4">
        <f>+Main!F11</f>
        <v>67</v>
      </c>
    </row>
    <row r="15" spans="1:9" ht="17.399999999999999">
      <c r="A15" s="7">
        <f>+Main!B12</f>
        <v>3100</v>
      </c>
      <c r="B15" s="8" t="s">
        <v>22</v>
      </c>
      <c r="C15" s="8">
        <f>+Main!C12</f>
        <v>1530</v>
      </c>
      <c r="D15" s="8" t="s">
        <v>22</v>
      </c>
      <c r="E15" s="8">
        <f>+Main!D12</f>
        <v>10</v>
      </c>
      <c r="F15" s="8" t="s">
        <v>23</v>
      </c>
      <c r="G15" s="6"/>
      <c r="H15" s="6">
        <v>10</v>
      </c>
      <c r="I15" s="4">
        <f>+Main!F12</f>
        <v>67</v>
      </c>
    </row>
    <row r="16" spans="1:9" ht="17.399999999999999">
      <c r="A16" s="7">
        <f>+Main!B13</f>
        <v>3100</v>
      </c>
      <c r="B16" s="8" t="s">
        <v>22</v>
      </c>
      <c r="C16" s="8">
        <f>+Main!C13</f>
        <v>1530</v>
      </c>
      <c r="D16" s="8" t="s">
        <v>22</v>
      </c>
      <c r="E16" s="8">
        <f>+Main!D13</f>
        <v>10</v>
      </c>
      <c r="F16" s="8" t="s">
        <v>23</v>
      </c>
      <c r="G16" s="6"/>
      <c r="H16" s="6">
        <v>11</v>
      </c>
      <c r="I16" s="4">
        <f>+Main!F13</f>
        <v>67</v>
      </c>
    </row>
    <row r="17" spans="1:9" ht="17.399999999999999">
      <c r="A17" s="7">
        <f>+Main!B14</f>
        <v>3100</v>
      </c>
      <c r="B17" s="8" t="s">
        <v>22</v>
      </c>
      <c r="C17" s="8">
        <f>+Main!C14</f>
        <v>1530</v>
      </c>
      <c r="D17" s="8" t="s">
        <v>22</v>
      </c>
      <c r="E17" s="8">
        <f>+Main!D14</f>
        <v>20</v>
      </c>
      <c r="F17" s="8" t="s">
        <v>23</v>
      </c>
      <c r="G17" s="6"/>
      <c r="H17" s="6">
        <v>12</v>
      </c>
      <c r="I17" s="4">
        <f>+Main!F14</f>
        <v>33</v>
      </c>
    </row>
    <row r="18" spans="1:9" ht="17.399999999999999">
      <c r="A18" s="7">
        <f>+Main!B15</f>
        <v>3100</v>
      </c>
      <c r="B18" s="8" t="s">
        <v>22</v>
      </c>
      <c r="C18" s="8">
        <f>+Main!C15</f>
        <v>1530</v>
      </c>
      <c r="D18" s="8" t="s">
        <v>22</v>
      </c>
      <c r="E18" s="8">
        <f>+Main!D15</f>
        <v>20</v>
      </c>
      <c r="F18" s="8" t="s">
        <v>23</v>
      </c>
      <c r="G18" s="6"/>
      <c r="H18" s="6">
        <v>13</v>
      </c>
      <c r="I18" s="4">
        <f>+Main!F15</f>
        <v>33</v>
      </c>
    </row>
    <row r="19" spans="1:9" ht="17.399999999999999">
      <c r="A19" s="7">
        <f>+Main!B16</f>
        <v>3100</v>
      </c>
      <c r="B19" s="8" t="s">
        <v>22</v>
      </c>
      <c r="C19" s="8">
        <f>+Main!C16</f>
        <v>1530</v>
      </c>
      <c r="D19" s="8" t="s">
        <v>22</v>
      </c>
      <c r="E19" s="8">
        <f>+Main!D16</f>
        <v>20</v>
      </c>
      <c r="F19" s="8" t="s">
        <v>23</v>
      </c>
      <c r="G19" s="6"/>
      <c r="H19" s="6">
        <v>14</v>
      </c>
      <c r="I19" s="4">
        <f>+Main!F16</f>
        <v>33</v>
      </c>
    </row>
    <row r="20" spans="1:9" ht="17.399999999999999">
      <c r="A20" s="7">
        <f>+Main!B17</f>
        <v>3100</v>
      </c>
      <c r="B20" s="8" t="s">
        <v>22</v>
      </c>
      <c r="C20" s="8">
        <f>+Main!C17</f>
        <v>1530</v>
      </c>
      <c r="D20" s="8" t="s">
        <v>22</v>
      </c>
      <c r="E20" s="8">
        <f>+Main!D17</f>
        <v>22</v>
      </c>
      <c r="F20" s="8" t="s">
        <v>23</v>
      </c>
      <c r="G20" s="6"/>
      <c r="H20" s="6">
        <v>15</v>
      </c>
      <c r="I20" s="4">
        <f>+Main!F17</f>
        <v>30</v>
      </c>
    </row>
    <row r="21" spans="1:9" ht="17.399999999999999">
      <c r="A21" s="7">
        <f>+Main!B18</f>
        <v>3100</v>
      </c>
      <c r="B21" s="8" t="s">
        <v>22</v>
      </c>
      <c r="C21" s="8">
        <f>+Main!C18</f>
        <v>1530</v>
      </c>
      <c r="D21" s="8" t="s">
        <v>22</v>
      </c>
      <c r="E21" s="8">
        <f>+Main!D18</f>
        <v>30</v>
      </c>
      <c r="F21" s="8" t="s">
        <v>23</v>
      </c>
      <c r="G21" s="6"/>
      <c r="H21" s="6">
        <v>16</v>
      </c>
      <c r="I21" s="4">
        <f>+Main!F18</f>
        <v>22</v>
      </c>
    </row>
  </sheetData>
  <mergeCells count="5">
    <mergeCell ref="A1:I1"/>
    <mergeCell ref="A2:I2"/>
    <mergeCell ref="A3:I3"/>
    <mergeCell ref="A4:I4"/>
    <mergeCell ref="A5:G5"/>
  </mergeCells>
  <pageMargins left="0.7" right="0.7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6"/>
  <sheetViews>
    <sheetView topLeftCell="A7" workbookViewId="0">
      <selection activeCell="Q23" sqref="Q23"/>
    </sheetView>
  </sheetViews>
  <sheetFormatPr defaultRowHeight="14.4"/>
  <cols>
    <col min="1" max="1" width="4.109375" customWidth="1"/>
    <col min="2" max="2" width="15.109375" bestFit="1" customWidth="1"/>
    <col min="3" max="3" width="10.88671875" customWidth="1"/>
    <col min="4" max="4" width="11.5546875" bestFit="1" customWidth="1"/>
    <col min="5" max="5" width="6.33203125" customWidth="1"/>
    <col min="6" max="6" width="2.109375" bestFit="1" customWidth="1"/>
    <col min="7" max="7" width="6.44140625" customWidth="1"/>
    <col min="8" max="8" width="2.109375" bestFit="1" customWidth="1"/>
    <col min="9" max="9" width="3.88671875" customWidth="1"/>
    <col min="10" max="10" width="4.44140625" bestFit="1" customWidth="1"/>
    <col min="11" max="11" width="9.109375" bestFit="1" customWidth="1"/>
    <col min="12" max="12" width="3" bestFit="1" customWidth="1"/>
    <col min="13" max="13" width="1.88671875" bestFit="1" customWidth="1"/>
    <col min="14" max="14" width="3" bestFit="1" customWidth="1"/>
    <col min="15" max="16" width="4.88671875" customWidth="1"/>
    <col min="17" max="17" width="13.88671875" customWidth="1"/>
    <col min="18" max="18" width="4" customWidth="1"/>
    <col min="19" max="19" width="5.5546875" customWidth="1"/>
    <col min="20" max="20" width="8.44140625" bestFit="1" customWidth="1"/>
    <col min="21" max="21" width="9.6640625" customWidth="1"/>
  </cols>
  <sheetData>
    <row r="1" spans="1:22" ht="15.6">
      <c r="A1" s="149" t="s">
        <v>83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1"/>
    </row>
    <row r="2" spans="1:22" ht="15.6">
      <c r="A2" s="48" t="s">
        <v>25</v>
      </c>
      <c r="B2" s="32"/>
      <c r="C2" s="32"/>
      <c r="D2" s="32"/>
      <c r="E2" s="27"/>
      <c r="F2" s="27"/>
      <c r="G2" s="28"/>
      <c r="H2" s="26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49"/>
      <c r="V2" s="18"/>
    </row>
    <row r="3" spans="1:22" ht="15.6">
      <c r="A3" s="50" t="s">
        <v>26</v>
      </c>
      <c r="B3" s="100"/>
      <c r="C3" s="100"/>
      <c r="D3" s="100"/>
      <c r="E3" s="101"/>
      <c r="F3" s="101"/>
      <c r="G3" s="33"/>
      <c r="H3" s="29"/>
      <c r="I3" s="101"/>
      <c r="J3" s="102"/>
      <c r="K3" s="102"/>
      <c r="L3" s="102"/>
      <c r="M3" s="102"/>
      <c r="N3" s="102"/>
      <c r="O3" s="102"/>
      <c r="P3" s="103" t="s">
        <v>26</v>
      </c>
      <c r="Q3" s="101"/>
      <c r="R3" s="101"/>
      <c r="S3" s="102"/>
      <c r="T3" s="102"/>
      <c r="U3" s="51"/>
      <c r="V3" s="18"/>
    </row>
    <row r="4" spans="1:22" ht="15.6">
      <c r="A4" s="52" t="s">
        <v>27</v>
      </c>
      <c r="B4" s="100"/>
      <c r="C4" s="100"/>
      <c r="D4" s="100"/>
      <c r="E4" s="101"/>
      <c r="F4" s="101"/>
      <c r="G4" s="33"/>
      <c r="H4" s="29"/>
      <c r="I4" s="101"/>
      <c r="J4" s="102"/>
      <c r="K4" s="102"/>
      <c r="L4" s="102"/>
      <c r="M4" s="102"/>
      <c r="N4" s="102"/>
      <c r="O4" s="102"/>
      <c r="P4" s="104" t="s">
        <v>28</v>
      </c>
      <c r="Q4" s="101"/>
      <c r="R4" s="101"/>
      <c r="S4" s="102"/>
      <c r="T4" s="102"/>
      <c r="U4" s="51"/>
      <c r="V4" s="18"/>
    </row>
    <row r="5" spans="1:22" ht="15.6">
      <c r="A5" s="52" t="s">
        <v>29</v>
      </c>
      <c r="B5" s="100"/>
      <c r="C5" s="100"/>
      <c r="D5" s="100"/>
      <c r="E5" s="101"/>
      <c r="F5" s="101"/>
      <c r="G5" s="33"/>
      <c r="H5" s="29"/>
      <c r="I5" s="101"/>
      <c r="J5" s="102"/>
      <c r="K5" s="102"/>
      <c r="L5" s="102"/>
      <c r="M5" s="102"/>
      <c r="N5" s="102"/>
      <c r="O5" s="102"/>
      <c r="P5" s="105" t="s">
        <v>30</v>
      </c>
      <c r="Q5" s="101"/>
      <c r="R5" s="101"/>
      <c r="S5" s="102"/>
      <c r="T5" s="102"/>
      <c r="U5" s="51"/>
    </row>
    <row r="6" spans="1:22" ht="15.6">
      <c r="A6" s="53" t="s">
        <v>31</v>
      </c>
      <c r="B6" s="100"/>
      <c r="C6" s="100"/>
      <c r="D6" s="100"/>
      <c r="E6" s="101"/>
      <c r="F6" s="101"/>
      <c r="G6" s="33"/>
      <c r="H6" s="29"/>
      <c r="I6" s="101"/>
      <c r="J6" s="102"/>
      <c r="K6" s="102"/>
      <c r="L6" s="102"/>
      <c r="M6" s="102"/>
      <c r="N6" s="102"/>
      <c r="O6" s="102"/>
      <c r="P6" s="105" t="s">
        <v>32</v>
      </c>
      <c r="Q6" s="101"/>
      <c r="R6" s="101"/>
      <c r="S6" s="102"/>
      <c r="T6" s="102"/>
      <c r="U6" s="51"/>
    </row>
    <row r="7" spans="1:22" ht="10.5" customHeight="1">
      <c r="A7" s="54"/>
      <c r="B7" s="23"/>
      <c r="C7" s="23"/>
      <c r="D7" s="23"/>
      <c r="E7" s="23"/>
      <c r="F7" s="31"/>
      <c r="G7" s="34"/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55"/>
    </row>
    <row r="8" spans="1:22">
      <c r="A8" s="56" t="s">
        <v>33</v>
      </c>
      <c r="B8" s="35"/>
      <c r="C8" s="35"/>
      <c r="D8" s="35"/>
      <c r="E8" s="35"/>
      <c r="F8" s="35"/>
      <c r="G8" s="25"/>
      <c r="H8" s="19"/>
      <c r="I8" s="46" t="s">
        <v>35</v>
      </c>
      <c r="J8" s="35"/>
      <c r="K8" s="46"/>
      <c r="L8" s="46"/>
      <c r="M8" s="46"/>
      <c r="N8" s="47"/>
      <c r="O8" s="44" t="s">
        <v>54</v>
      </c>
      <c r="P8" s="35"/>
      <c r="Q8" s="25"/>
      <c r="R8" s="44" t="s">
        <v>36</v>
      </c>
      <c r="S8" s="45"/>
      <c r="T8" s="45"/>
      <c r="U8" s="57"/>
    </row>
    <row r="9" spans="1:22" ht="15.6">
      <c r="A9" s="58" t="s">
        <v>34</v>
      </c>
      <c r="B9" s="106"/>
      <c r="C9" s="106"/>
      <c r="D9" s="106"/>
      <c r="E9" s="102"/>
      <c r="F9" s="102"/>
      <c r="G9" s="21"/>
      <c r="H9" s="20"/>
      <c r="I9" s="107" t="s">
        <v>93</v>
      </c>
      <c r="J9" s="102"/>
      <c r="K9" s="108"/>
      <c r="L9" s="108"/>
      <c r="M9" s="108"/>
      <c r="N9" s="41"/>
      <c r="O9" s="117" t="s">
        <v>55</v>
      </c>
      <c r="P9" s="109"/>
      <c r="Q9" s="68"/>
      <c r="R9" s="163" t="s">
        <v>88</v>
      </c>
      <c r="S9" s="164"/>
      <c r="T9" s="164"/>
      <c r="U9" s="165"/>
    </row>
    <row r="10" spans="1:22" ht="15.6">
      <c r="A10" s="59" t="s">
        <v>80</v>
      </c>
      <c r="B10" s="102"/>
      <c r="C10" s="102"/>
      <c r="D10" s="102"/>
      <c r="E10" s="102"/>
      <c r="F10" s="102"/>
      <c r="G10" s="21"/>
      <c r="H10" s="37"/>
      <c r="I10" s="23"/>
      <c r="J10" s="38"/>
      <c r="K10" s="38"/>
      <c r="L10" s="38"/>
      <c r="M10" s="38"/>
      <c r="N10" s="42"/>
      <c r="O10" s="152" t="s">
        <v>58</v>
      </c>
      <c r="P10" s="153"/>
      <c r="Q10" s="154"/>
      <c r="R10" s="166"/>
      <c r="S10" s="167"/>
      <c r="T10" s="167"/>
      <c r="U10" s="168"/>
    </row>
    <row r="11" spans="1:22" ht="15.6">
      <c r="A11" s="59" t="s">
        <v>81</v>
      </c>
      <c r="B11" s="102"/>
      <c r="C11" s="102"/>
      <c r="D11" s="102"/>
      <c r="E11" s="102"/>
      <c r="F11" s="102"/>
      <c r="G11" s="21"/>
      <c r="H11" s="102"/>
      <c r="I11" s="110" t="s">
        <v>37</v>
      </c>
      <c r="J11" s="102"/>
      <c r="K11" s="110"/>
      <c r="L11" s="110"/>
      <c r="M11" s="110"/>
      <c r="N11" s="111"/>
      <c r="O11" s="71" t="s">
        <v>60</v>
      </c>
      <c r="P11" s="70"/>
      <c r="Q11" s="70" t="s">
        <v>59</v>
      </c>
      <c r="R11" s="160" t="s">
        <v>38</v>
      </c>
      <c r="S11" s="161"/>
      <c r="T11" s="161"/>
      <c r="U11" s="162"/>
    </row>
    <row r="12" spans="1:22" ht="15.75" customHeight="1">
      <c r="A12" s="59" t="s">
        <v>82</v>
      </c>
      <c r="B12" s="102"/>
      <c r="C12" s="102"/>
      <c r="D12" s="102"/>
      <c r="E12" s="102"/>
      <c r="F12" s="102"/>
      <c r="G12" s="21"/>
      <c r="H12" s="102"/>
      <c r="I12" s="112" t="s">
        <v>53</v>
      </c>
      <c r="J12" s="102"/>
      <c r="K12" s="113"/>
      <c r="L12" s="113"/>
      <c r="M12" s="113"/>
      <c r="N12" s="113"/>
      <c r="O12" s="155" t="s">
        <v>85</v>
      </c>
      <c r="P12" s="156"/>
      <c r="Q12" s="116" t="s">
        <v>84</v>
      </c>
      <c r="R12" s="157" t="s">
        <v>77</v>
      </c>
      <c r="S12" s="158"/>
      <c r="T12" s="158"/>
      <c r="U12" s="159"/>
    </row>
    <row r="13" spans="1:22" ht="15.75" customHeight="1">
      <c r="A13" s="59" t="s">
        <v>79</v>
      </c>
      <c r="B13" s="102"/>
      <c r="C13" s="102"/>
      <c r="D13" s="102"/>
      <c r="E13" s="102"/>
      <c r="F13" s="102"/>
      <c r="G13" s="21"/>
      <c r="H13" s="20"/>
      <c r="I13" s="102"/>
      <c r="J13" s="102"/>
      <c r="K13" s="102"/>
      <c r="L13" s="102"/>
      <c r="M13" s="102"/>
      <c r="N13" s="102"/>
      <c r="O13" s="20"/>
      <c r="P13" s="21"/>
      <c r="Q13" s="21"/>
      <c r="R13" s="69"/>
      <c r="S13" s="102"/>
      <c r="T13" s="102"/>
      <c r="U13" s="51"/>
    </row>
    <row r="14" spans="1:22">
      <c r="A14" s="60"/>
      <c r="B14" s="36"/>
      <c r="C14" s="36"/>
      <c r="D14" s="36"/>
      <c r="E14" s="23"/>
      <c r="F14" s="23"/>
      <c r="G14" s="24"/>
      <c r="H14" s="22"/>
      <c r="I14" s="23"/>
      <c r="J14" s="23"/>
      <c r="K14" s="23"/>
      <c r="L14" s="23"/>
      <c r="M14" s="23"/>
      <c r="N14" s="23"/>
      <c r="O14" s="22"/>
      <c r="P14" s="24"/>
      <c r="Q14" s="24"/>
      <c r="R14" s="22"/>
      <c r="S14" s="23"/>
      <c r="T14" s="23"/>
      <c r="U14" s="61"/>
    </row>
    <row r="15" spans="1:22" ht="33.75" customHeight="1">
      <c r="A15" s="62" t="s">
        <v>44</v>
      </c>
      <c r="B15" s="115" t="s">
        <v>39</v>
      </c>
      <c r="C15" s="115" t="s">
        <v>40</v>
      </c>
      <c r="D15" s="145" t="s">
        <v>41</v>
      </c>
      <c r="E15" s="146"/>
      <c r="F15" s="146"/>
      <c r="G15" s="146"/>
      <c r="H15" s="146"/>
      <c r="I15" s="146"/>
      <c r="J15" s="146"/>
      <c r="K15" s="147"/>
      <c r="L15" s="142" t="s">
        <v>56</v>
      </c>
      <c r="M15" s="143"/>
      <c r="N15" s="144"/>
      <c r="O15" s="136" t="s">
        <v>42</v>
      </c>
      <c r="P15" s="136"/>
      <c r="Q15" s="136"/>
      <c r="R15" s="137"/>
      <c r="S15" s="137"/>
      <c r="T15" s="140" t="s">
        <v>43</v>
      </c>
      <c r="U15" s="141"/>
    </row>
    <row r="16" spans="1:22" ht="15" customHeight="1">
      <c r="A16" s="169">
        <v>1</v>
      </c>
      <c r="B16" s="170" t="s">
        <v>91</v>
      </c>
      <c r="C16" s="171" t="s">
        <v>92</v>
      </c>
      <c r="D16" s="43" t="s">
        <v>86</v>
      </c>
      <c r="E16" s="39">
        <f>+Main!B3</f>
        <v>2500</v>
      </c>
      <c r="F16" s="118" t="s">
        <v>22</v>
      </c>
      <c r="G16" s="118">
        <f>+Main!C3</f>
        <v>1220</v>
      </c>
      <c r="H16" s="118" t="s">
        <v>22</v>
      </c>
      <c r="I16" s="118">
        <f>+Main!D3</f>
        <v>5</v>
      </c>
      <c r="J16" s="118" t="s">
        <v>23</v>
      </c>
      <c r="K16" s="92"/>
      <c r="L16" s="118">
        <f>+Main!J3</f>
        <v>1</v>
      </c>
      <c r="M16" s="118" t="s">
        <v>15</v>
      </c>
      <c r="N16" s="119">
        <f>+Main!K3</f>
        <v>16</v>
      </c>
      <c r="O16" s="39">
        <f>+Main!F3</f>
        <v>176</v>
      </c>
      <c r="P16" s="118" t="s">
        <v>45</v>
      </c>
      <c r="Q16" s="118" t="s">
        <v>46</v>
      </c>
      <c r="R16" s="118">
        <f t="shared" ref="R16" si="0">+O16</f>
        <v>176</v>
      </c>
      <c r="S16" s="119" t="s">
        <v>47</v>
      </c>
      <c r="T16" s="96">
        <f>+E16*G16*I16*O16/1000000000</f>
        <v>2.6840000000000002</v>
      </c>
      <c r="U16" s="120">
        <f>+T16</f>
        <v>2.6840000000000002</v>
      </c>
    </row>
    <row r="17" spans="1:21" ht="15" customHeight="1">
      <c r="A17" s="169"/>
      <c r="B17" s="170"/>
      <c r="C17" s="171"/>
      <c r="D17" s="43" t="s">
        <v>86</v>
      </c>
      <c r="E17" s="39">
        <f>+Main!B4</f>
        <v>2500</v>
      </c>
      <c r="F17" s="118" t="s">
        <v>22</v>
      </c>
      <c r="G17" s="118">
        <f>+Main!C4</f>
        <v>1220</v>
      </c>
      <c r="H17" s="118" t="s">
        <v>22</v>
      </c>
      <c r="I17" s="118">
        <f>+Main!D4</f>
        <v>10</v>
      </c>
      <c r="J17" s="118" t="s">
        <v>23</v>
      </c>
      <c r="K17" s="92"/>
      <c r="L17" s="118">
        <f>+Main!J4</f>
        <v>2</v>
      </c>
      <c r="M17" s="118" t="s">
        <v>15</v>
      </c>
      <c r="N17" s="119">
        <f>+Main!K4</f>
        <v>16</v>
      </c>
      <c r="O17" s="39">
        <f>+Main!F4</f>
        <v>88</v>
      </c>
      <c r="P17" s="118" t="s">
        <v>45</v>
      </c>
      <c r="Q17" s="118" t="s">
        <v>46</v>
      </c>
      <c r="R17" s="118">
        <f t="shared" ref="R17:R31" si="1">+O17</f>
        <v>88</v>
      </c>
      <c r="S17" s="119" t="s">
        <v>47</v>
      </c>
      <c r="T17" s="96">
        <f t="shared" ref="T17:T31" si="2">+E17*G17*I17*O17/1000000000</f>
        <v>2.6840000000000002</v>
      </c>
      <c r="U17" s="148">
        <f>+T17*2</f>
        <v>5.3680000000000003</v>
      </c>
    </row>
    <row r="18" spans="1:21" ht="15" customHeight="1">
      <c r="A18" s="169"/>
      <c r="B18" s="170"/>
      <c r="C18" s="171"/>
      <c r="D18" s="43" t="s">
        <v>86</v>
      </c>
      <c r="E18" s="39">
        <f>+Main!B5</f>
        <v>2500</v>
      </c>
      <c r="F18" s="118" t="s">
        <v>22</v>
      </c>
      <c r="G18" s="118">
        <f>+Main!C5</f>
        <v>1220</v>
      </c>
      <c r="H18" s="118" t="s">
        <v>22</v>
      </c>
      <c r="I18" s="118">
        <f>+Main!D5</f>
        <v>10</v>
      </c>
      <c r="J18" s="118" t="s">
        <v>23</v>
      </c>
      <c r="K18" s="92"/>
      <c r="L18" s="118">
        <f>+Main!J5</f>
        <v>3</v>
      </c>
      <c r="M18" s="118" t="s">
        <v>15</v>
      </c>
      <c r="N18" s="119">
        <f>+Main!K5</f>
        <v>16</v>
      </c>
      <c r="O18" s="39">
        <f>+Main!F5</f>
        <v>88</v>
      </c>
      <c r="P18" s="118" t="s">
        <v>45</v>
      </c>
      <c r="Q18" s="118" t="s">
        <v>46</v>
      </c>
      <c r="R18" s="118">
        <f t="shared" si="1"/>
        <v>88</v>
      </c>
      <c r="S18" s="119" t="s">
        <v>47</v>
      </c>
      <c r="T18" s="96">
        <f t="shared" si="2"/>
        <v>2.6840000000000002</v>
      </c>
      <c r="U18" s="148"/>
    </row>
    <row r="19" spans="1:21" ht="15" customHeight="1">
      <c r="A19" s="169"/>
      <c r="B19" s="170"/>
      <c r="C19" s="171"/>
      <c r="D19" s="43" t="s">
        <v>86</v>
      </c>
      <c r="E19" s="39">
        <f>+Main!B6</f>
        <v>2500</v>
      </c>
      <c r="F19" s="118" t="s">
        <v>22</v>
      </c>
      <c r="G19" s="118">
        <f>+Main!C6</f>
        <v>1220</v>
      </c>
      <c r="H19" s="118" t="s">
        <v>22</v>
      </c>
      <c r="I19" s="118">
        <f>+Main!D6</f>
        <v>22</v>
      </c>
      <c r="J19" s="118" t="s">
        <v>23</v>
      </c>
      <c r="K19" s="92"/>
      <c r="L19" s="118">
        <f>+Main!J6</f>
        <v>4</v>
      </c>
      <c r="M19" s="118" t="s">
        <v>15</v>
      </c>
      <c r="N19" s="119">
        <f>+Main!K6</f>
        <v>16</v>
      </c>
      <c r="O19" s="39">
        <f>+Main!F6</f>
        <v>40</v>
      </c>
      <c r="P19" s="118" t="s">
        <v>45</v>
      </c>
      <c r="Q19" s="118" t="s">
        <v>46</v>
      </c>
      <c r="R19" s="118">
        <f t="shared" si="1"/>
        <v>40</v>
      </c>
      <c r="S19" s="119" t="s">
        <v>47</v>
      </c>
      <c r="T19" s="96">
        <f t="shared" si="2"/>
        <v>2.6840000000000002</v>
      </c>
      <c r="U19" s="120">
        <f>+T19</f>
        <v>2.6840000000000002</v>
      </c>
    </row>
    <row r="20" spans="1:21" ht="15" customHeight="1">
      <c r="A20" s="169"/>
      <c r="B20" s="170"/>
      <c r="C20" s="171"/>
      <c r="D20" s="43" t="s">
        <v>86</v>
      </c>
      <c r="E20" s="39">
        <f>+Main!B7</f>
        <v>3100</v>
      </c>
      <c r="F20" s="118" t="s">
        <v>22</v>
      </c>
      <c r="G20" s="118">
        <f>+Main!C7</f>
        <v>1530</v>
      </c>
      <c r="H20" s="118" t="s">
        <v>22</v>
      </c>
      <c r="I20" s="118">
        <f>+Main!D7</f>
        <v>10</v>
      </c>
      <c r="J20" s="118" t="s">
        <v>23</v>
      </c>
      <c r="K20" s="92"/>
      <c r="L20" s="118">
        <f>+Main!J7</f>
        <v>5</v>
      </c>
      <c r="M20" s="118" t="s">
        <v>15</v>
      </c>
      <c r="N20" s="119">
        <f>+Main!K7</f>
        <v>16</v>
      </c>
      <c r="O20" s="39">
        <f>+Main!F7</f>
        <v>67</v>
      </c>
      <c r="P20" s="118" t="s">
        <v>45</v>
      </c>
      <c r="Q20" s="118" t="s">
        <v>46</v>
      </c>
      <c r="R20" s="118">
        <f t="shared" si="1"/>
        <v>67</v>
      </c>
      <c r="S20" s="119" t="s">
        <v>47</v>
      </c>
      <c r="T20" s="96">
        <f t="shared" si="2"/>
        <v>3.17781</v>
      </c>
      <c r="U20" s="148">
        <f>+T26*7</f>
        <v>22.244669999999999</v>
      </c>
    </row>
    <row r="21" spans="1:21" ht="15" customHeight="1">
      <c r="A21" s="169"/>
      <c r="B21" s="170"/>
      <c r="C21" s="171"/>
      <c r="D21" s="43" t="s">
        <v>86</v>
      </c>
      <c r="E21" s="39">
        <f>+Main!B8</f>
        <v>3100</v>
      </c>
      <c r="F21" s="118" t="s">
        <v>22</v>
      </c>
      <c r="G21" s="118">
        <f>+Main!C8</f>
        <v>1530</v>
      </c>
      <c r="H21" s="118" t="s">
        <v>22</v>
      </c>
      <c r="I21" s="118">
        <f>+Main!D8</f>
        <v>10</v>
      </c>
      <c r="J21" s="118" t="s">
        <v>23</v>
      </c>
      <c r="K21" s="92"/>
      <c r="L21" s="118">
        <f>+Main!J8</f>
        <v>6</v>
      </c>
      <c r="M21" s="118" t="s">
        <v>15</v>
      </c>
      <c r="N21" s="119">
        <f>+Main!K8</f>
        <v>16</v>
      </c>
      <c r="O21" s="39">
        <f>+Main!F8</f>
        <v>67</v>
      </c>
      <c r="P21" s="118" t="s">
        <v>45</v>
      </c>
      <c r="Q21" s="118" t="s">
        <v>46</v>
      </c>
      <c r="R21" s="118">
        <f t="shared" si="1"/>
        <v>67</v>
      </c>
      <c r="S21" s="119" t="s">
        <v>47</v>
      </c>
      <c r="T21" s="96">
        <f t="shared" si="2"/>
        <v>3.17781</v>
      </c>
      <c r="U21" s="148"/>
    </row>
    <row r="22" spans="1:21" ht="15" customHeight="1">
      <c r="A22" s="169"/>
      <c r="B22" s="170"/>
      <c r="C22" s="171"/>
      <c r="D22" s="43" t="s">
        <v>86</v>
      </c>
      <c r="E22" s="39">
        <f>+Main!B9</f>
        <v>3100</v>
      </c>
      <c r="F22" s="118" t="s">
        <v>22</v>
      </c>
      <c r="G22" s="118">
        <f>+Main!C9</f>
        <v>1530</v>
      </c>
      <c r="H22" s="118" t="s">
        <v>22</v>
      </c>
      <c r="I22" s="118">
        <f>+Main!D9</f>
        <v>10</v>
      </c>
      <c r="J22" s="118" t="s">
        <v>23</v>
      </c>
      <c r="K22" s="92"/>
      <c r="L22" s="118">
        <f>+Main!J9</f>
        <v>7</v>
      </c>
      <c r="M22" s="118" t="s">
        <v>15</v>
      </c>
      <c r="N22" s="119">
        <f>+Main!K9</f>
        <v>16</v>
      </c>
      <c r="O22" s="39">
        <f>+Main!F9</f>
        <v>67</v>
      </c>
      <c r="P22" s="118" t="s">
        <v>45</v>
      </c>
      <c r="Q22" s="118" t="s">
        <v>46</v>
      </c>
      <c r="R22" s="118">
        <f t="shared" si="1"/>
        <v>67</v>
      </c>
      <c r="S22" s="119" t="s">
        <v>47</v>
      </c>
      <c r="T22" s="96">
        <f t="shared" si="2"/>
        <v>3.17781</v>
      </c>
      <c r="U22" s="148"/>
    </row>
    <row r="23" spans="1:21" ht="15" customHeight="1">
      <c r="A23" s="169"/>
      <c r="B23" s="170"/>
      <c r="C23" s="171"/>
      <c r="D23" s="43" t="s">
        <v>86</v>
      </c>
      <c r="E23" s="39">
        <f>+Main!B10</f>
        <v>3100</v>
      </c>
      <c r="F23" s="118" t="s">
        <v>22</v>
      </c>
      <c r="G23" s="118">
        <f>+Main!C10</f>
        <v>1530</v>
      </c>
      <c r="H23" s="118" t="s">
        <v>22</v>
      </c>
      <c r="I23" s="118">
        <f>+Main!D10</f>
        <v>10</v>
      </c>
      <c r="J23" s="118" t="s">
        <v>23</v>
      </c>
      <c r="K23" s="92"/>
      <c r="L23" s="118">
        <f>+Main!J10</f>
        <v>8</v>
      </c>
      <c r="M23" s="118" t="s">
        <v>15</v>
      </c>
      <c r="N23" s="119">
        <f>+Main!K10</f>
        <v>16</v>
      </c>
      <c r="O23" s="39">
        <f>+Main!F10</f>
        <v>67</v>
      </c>
      <c r="P23" s="118" t="s">
        <v>45</v>
      </c>
      <c r="Q23" s="118" t="s">
        <v>46</v>
      </c>
      <c r="R23" s="118">
        <f t="shared" si="1"/>
        <v>67</v>
      </c>
      <c r="S23" s="119" t="s">
        <v>47</v>
      </c>
      <c r="T23" s="96">
        <f t="shared" si="2"/>
        <v>3.17781</v>
      </c>
      <c r="U23" s="148"/>
    </row>
    <row r="24" spans="1:21" ht="15" customHeight="1">
      <c r="A24" s="169"/>
      <c r="B24" s="170"/>
      <c r="C24" s="171"/>
      <c r="D24" s="43" t="s">
        <v>86</v>
      </c>
      <c r="E24" s="39">
        <f>+Main!B11</f>
        <v>3100</v>
      </c>
      <c r="F24" s="118" t="s">
        <v>22</v>
      </c>
      <c r="G24" s="118">
        <f>+Main!C11</f>
        <v>1530</v>
      </c>
      <c r="H24" s="118" t="s">
        <v>22</v>
      </c>
      <c r="I24" s="118">
        <f>+Main!D11</f>
        <v>10</v>
      </c>
      <c r="J24" s="118" t="s">
        <v>23</v>
      </c>
      <c r="K24" s="92"/>
      <c r="L24" s="118">
        <f>+Main!J11</f>
        <v>9</v>
      </c>
      <c r="M24" s="118" t="s">
        <v>15</v>
      </c>
      <c r="N24" s="119">
        <f>+Main!K11</f>
        <v>16</v>
      </c>
      <c r="O24" s="39">
        <f>+Main!F11</f>
        <v>67</v>
      </c>
      <c r="P24" s="118" t="s">
        <v>45</v>
      </c>
      <c r="Q24" s="118" t="s">
        <v>46</v>
      </c>
      <c r="R24" s="118">
        <f t="shared" si="1"/>
        <v>67</v>
      </c>
      <c r="S24" s="119" t="s">
        <v>47</v>
      </c>
      <c r="T24" s="96">
        <f t="shared" si="2"/>
        <v>3.17781</v>
      </c>
      <c r="U24" s="148"/>
    </row>
    <row r="25" spans="1:21" ht="15" customHeight="1">
      <c r="A25" s="169"/>
      <c r="B25" s="170"/>
      <c r="C25" s="171"/>
      <c r="D25" s="43" t="s">
        <v>86</v>
      </c>
      <c r="E25" s="39">
        <f>+Main!B12</f>
        <v>3100</v>
      </c>
      <c r="F25" s="118" t="s">
        <v>22</v>
      </c>
      <c r="G25" s="118">
        <f>+Main!C12</f>
        <v>1530</v>
      </c>
      <c r="H25" s="118" t="s">
        <v>22</v>
      </c>
      <c r="I25" s="118">
        <f>+Main!D12</f>
        <v>10</v>
      </c>
      <c r="J25" s="118" t="s">
        <v>23</v>
      </c>
      <c r="K25" s="92"/>
      <c r="L25" s="118">
        <f>+Main!J12</f>
        <v>10</v>
      </c>
      <c r="M25" s="118" t="s">
        <v>15</v>
      </c>
      <c r="N25" s="119">
        <f>+Main!K12</f>
        <v>16</v>
      </c>
      <c r="O25" s="39">
        <f>+Main!F12</f>
        <v>67</v>
      </c>
      <c r="P25" s="118" t="s">
        <v>45</v>
      </c>
      <c r="Q25" s="118" t="s">
        <v>46</v>
      </c>
      <c r="R25" s="118">
        <f t="shared" si="1"/>
        <v>67</v>
      </c>
      <c r="S25" s="119" t="s">
        <v>47</v>
      </c>
      <c r="T25" s="96">
        <f t="shared" si="2"/>
        <v>3.17781</v>
      </c>
      <c r="U25" s="148"/>
    </row>
    <row r="26" spans="1:21" ht="15" customHeight="1">
      <c r="A26" s="169"/>
      <c r="B26" s="170"/>
      <c r="C26" s="171"/>
      <c r="D26" s="43" t="s">
        <v>86</v>
      </c>
      <c r="E26" s="39">
        <f>+Main!B13</f>
        <v>3100</v>
      </c>
      <c r="F26" s="118" t="s">
        <v>22</v>
      </c>
      <c r="G26" s="118">
        <f>+Main!C13</f>
        <v>1530</v>
      </c>
      <c r="H26" s="118" t="s">
        <v>22</v>
      </c>
      <c r="I26" s="118">
        <f>+Main!D13</f>
        <v>10</v>
      </c>
      <c r="J26" s="118" t="s">
        <v>23</v>
      </c>
      <c r="K26" s="92"/>
      <c r="L26" s="118">
        <f>+Main!J13</f>
        <v>11</v>
      </c>
      <c r="M26" s="118" t="s">
        <v>15</v>
      </c>
      <c r="N26" s="119">
        <f>+Main!K13</f>
        <v>16</v>
      </c>
      <c r="O26" s="39">
        <f>+Main!F13</f>
        <v>67</v>
      </c>
      <c r="P26" s="118" t="s">
        <v>45</v>
      </c>
      <c r="Q26" s="118" t="s">
        <v>46</v>
      </c>
      <c r="R26" s="118">
        <f t="shared" si="1"/>
        <v>67</v>
      </c>
      <c r="S26" s="119" t="s">
        <v>47</v>
      </c>
      <c r="T26" s="96">
        <f t="shared" si="2"/>
        <v>3.17781</v>
      </c>
      <c r="U26" s="148"/>
    </row>
    <row r="27" spans="1:21" ht="15" customHeight="1">
      <c r="A27" s="169"/>
      <c r="B27" s="170"/>
      <c r="C27" s="171"/>
      <c r="D27" s="43" t="s">
        <v>86</v>
      </c>
      <c r="E27" s="39">
        <f>+Main!B14</f>
        <v>3100</v>
      </c>
      <c r="F27" s="118" t="s">
        <v>22</v>
      </c>
      <c r="G27" s="118">
        <f>+Main!C14</f>
        <v>1530</v>
      </c>
      <c r="H27" s="118" t="s">
        <v>22</v>
      </c>
      <c r="I27" s="118">
        <f>+Main!D14</f>
        <v>20</v>
      </c>
      <c r="J27" s="118" t="s">
        <v>23</v>
      </c>
      <c r="K27" s="92"/>
      <c r="L27" s="118">
        <f>+Main!J14</f>
        <v>12</v>
      </c>
      <c r="M27" s="118" t="s">
        <v>15</v>
      </c>
      <c r="N27" s="119">
        <f>+Main!K14</f>
        <v>16</v>
      </c>
      <c r="O27" s="39">
        <f>+Main!F14</f>
        <v>33</v>
      </c>
      <c r="P27" s="118" t="s">
        <v>45</v>
      </c>
      <c r="Q27" s="118" t="s">
        <v>46</v>
      </c>
      <c r="R27" s="118">
        <f t="shared" si="1"/>
        <v>33</v>
      </c>
      <c r="S27" s="119" t="s">
        <v>47</v>
      </c>
      <c r="T27" s="96">
        <f t="shared" si="2"/>
        <v>3.1303800000000002</v>
      </c>
      <c r="U27" s="148">
        <f>+T29*3</f>
        <v>9.39114</v>
      </c>
    </row>
    <row r="28" spans="1:21" ht="15" customHeight="1">
      <c r="A28" s="169"/>
      <c r="B28" s="170"/>
      <c r="C28" s="171"/>
      <c r="D28" s="43" t="s">
        <v>86</v>
      </c>
      <c r="E28" s="39">
        <f>+Main!B15</f>
        <v>3100</v>
      </c>
      <c r="F28" s="118" t="s">
        <v>22</v>
      </c>
      <c r="G28" s="118">
        <f>+Main!C15</f>
        <v>1530</v>
      </c>
      <c r="H28" s="118" t="s">
        <v>22</v>
      </c>
      <c r="I28" s="118">
        <f>+Main!D15</f>
        <v>20</v>
      </c>
      <c r="J28" s="118" t="s">
        <v>23</v>
      </c>
      <c r="K28" s="92"/>
      <c r="L28" s="118">
        <f>+Main!J15</f>
        <v>13</v>
      </c>
      <c r="M28" s="118" t="s">
        <v>15</v>
      </c>
      <c r="N28" s="119">
        <f>+Main!K15</f>
        <v>16</v>
      </c>
      <c r="O28" s="39">
        <f>+Main!F15</f>
        <v>33</v>
      </c>
      <c r="P28" s="118" t="s">
        <v>45</v>
      </c>
      <c r="Q28" s="118" t="s">
        <v>46</v>
      </c>
      <c r="R28" s="118">
        <f t="shared" si="1"/>
        <v>33</v>
      </c>
      <c r="S28" s="119" t="s">
        <v>47</v>
      </c>
      <c r="T28" s="96">
        <f t="shared" si="2"/>
        <v>3.1303800000000002</v>
      </c>
      <c r="U28" s="148"/>
    </row>
    <row r="29" spans="1:21" ht="15" customHeight="1">
      <c r="A29" s="169"/>
      <c r="B29" s="170"/>
      <c r="C29" s="171"/>
      <c r="D29" s="43" t="s">
        <v>86</v>
      </c>
      <c r="E29" s="39">
        <f>+Main!B16</f>
        <v>3100</v>
      </c>
      <c r="F29" s="118" t="s">
        <v>22</v>
      </c>
      <c r="G29" s="118">
        <f>+Main!C16</f>
        <v>1530</v>
      </c>
      <c r="H29" s="118" t="s">
        <v>22</v>
      </c>
      <c r="I29" s="118">
        <f>+Main!D16</f>
        <v>20</v>
      </c>
      <c r="J29" s="118" t="s">
        <v>23</v>
      </c>
      <c r="K29" s="92"/>
      <c r="L29" s="118">
        <f>+Main!J16</f>
        <v>14</v>
      </c>
      <c r="M29" s="118" t="s">
        <v>15</v>
      </c>
      <c r="N29" s="119">
        <f>+Main!K16</f>
        <v>16</v>
      </c>
      <c r="O29" s="39">
        <f>+Main!F16</f>
        <v>33</v>
      </c>
      <c r="P29" s="118" t="s">
        <v>45</v>
      </c>
      <c r="Q29" s="118" t="s">
        <v>46</v>
      </c>
      <c r="R29" s="118">
        <f t="shared" si="1"/>
        <v>33</v>
      </c>
      <c r="S29" s="119" t="s">
        <v>47</v>
      </c>
      <c r="T29" s="96">
        <f t="shared" si="2"/>
        <v>3.1303800000000002</v>
      </c>
      <c r="U29" s="148"/>
    </row>
    <row r="30" spans="1:21" ht="15" customHeight="1">
      <c r="A30" s="169"/>
      <c r="B30" s="170"/>
      <c r="C30" s="171"/>
      <c r="D30" s="43" t="s">
        <v>86</v>
      </c>
      <c r="E30" s="39">
        <f>+Main!B17</f>
        <v>3100</v>
      </c>
      <c r="F30" s="118" t="s">
        <v>22</v>
      </c>
      <c r="G30" s="118">
        <f>+Main!C17</f>
        <v>1530</v>
      </c>
      <c r="H30" s="118" t="s">
        <v>22</v>
      </c>
      <c r="I30" s="118">
        <f>+Main!D17</f>
        <v>22</v>
      </c>
      <c r="J30" s="118" t="s">
        <v>23</v>
      </c>
      <c r="K30" s="92"/>
      <c r="L30" s="118">
        <f>+Main!J17</f>
        <v>15</v>
      </c>
      <c r="M30" s="118" t="s">
        <v>15</v>
      </c>
      <c r="N30" s="119">
        <f>+Main!K17</f>
        <v>16</v>
      </c>
      <c r="O30" s="39">
        <f>+Main!F17</f>
        <v>30</v>
      </c>
      <c r="P30" s="118" t="s">
        <v>45</v>
      </c>
      <c r="Q30" s="118" t="s">
        <v>46</v>
      </c>
      <c r="R30" s="118">
        <f t="shared" si="1"/>
        <v>30</v>
      </c>
      <c r="S30" s="119" t="s">
        <v>47</v>
      </c>
      <c r="T30" s="96">
        <f t="shared" si="2"/>
        <v>3.1303800000000002</v>
      </c>
      <c r="U30" s="120">
        <f>+T30</f>
        <v>3.1303800000000002</v>
      </c>
    </row>
    <row r="31" spans="1:21" ht="15" customHeight="1">
      <c r="A31" s="169"/>
      <c r="B31" s="170"/>
      <c r="C31" s="171"/>
      <c r="D31" s="43" t="s">
        <v>86</v>
      </c>
      <c r="E31" s="39">
        <f>+Main!B18</f>
        <v>3100</v>
      </c>
      <c r="F31" s="118" t="s">
        <v>22</v>
      </c>
      <c r="G31" s="118">
        <f>+Main!C18</f>
        <v>1530</v>
      </c>
      <c r="H31" s="118" t="s">
        <v>22</v>
      </c>
      <c r="I31" s="118">
        <f>+Main!D18</f>
        <v>30</v>
      </c>
      <c r="J31" s="118" t="s">
        <v>23</v>
      </c>
      <c r="K31" s="92"/>
      <c r="L31" s="118">
        <f>+Main!J18</f>
        <v>16</v>
      </c>
      <c r="M31" s="118" t="s">
        <v>15</v>
      </c>
      <c r="N31" s="119">
        <f>+Main!K18</f>
        <v>16</v>
      </c>
      <c r="O31" s="39">
        <f>+Main!F18</f>
        <v>22</v>
      </c>
      <c r="P31" s="118" t="s">
        <v>45</v>
      </c>
      <c r="Q31" s="118" t="s">
        <v>46</v>
      </c>
      <c r="R31" s="118">
        <f t="shared" si="1"/>
        <v>22</v>
      </c>
      <c r="S31" s="119" t="s">
        <v>47</v>
      </c>
      <c r="T31" s="96">
        <f t="shared" si="2"/>
        <v>3.1303800000000002</v>
      </c>
      <c r="U31" s="120">
        <f>+T31</f>
        <v>3.1303800000000002</v>
      </c>
    </row>
    <row r="32" spans="1:21">
      <c r="A32" s="175" t="s">
        <v>52</v>
      </c>
      <c r="B32" s="176"/>
      <c r="C32" s="176"/>
      <c r="D32" s="176"/>
      <c r="E32" s="176"/>
      <c r="F32" s="176"/>
      <c r="G32" s="176"/>
      <c r="H32" s="177"/>
      <c r="I32" s="138" t="s">
        <v>78</v>
      </c>
      <c r="J32" s="138"/>
      <c r="K32" s="139"/>
      <c r="L32" s="138"/>
      <c r="M32" s="138"/>
      <c r="N32" s="138"/>
      <c r="O32" s="138"/>
      <c r="P32" s="138"/>
      <c r="Q32" s="138"/>
      <c r="R32" s="138"/>
      <c r="S32" s="138"/>
      <c r="T32" s="72"/>
      <c r="U32" s="97">
        <f>SUM(U16:U31)</f>
        <v>48.632570000000008</v>
      </c>
    </row>
    <row r="33" spans="1:21">
      <c r="A33" s="63"/>
      <c r="B33" s="114"/>
      <c r="C33" s="114"/>
      <c r="D33" s="114"/>
      <c r="E33" s="114"/>
      <c r="F33" s="114"/>
      <c r="G33" s="114"/>
      <c r="H33" s="40"/>
      <c r="I33" s="174" t="s">
        <v>57</v>
      </c>
      <c r="J33" s="138"/>
      <c r="K33" s="138"/>
      <c r="L33" s="172" t="s">
        <v>94</v>
      </c>
      <c r="M33" s="172"/>
      <c r="N33" s="172"/>
      <c r="O33" s="172"/>
      <c r="P33" s="172"/>
      <c r="Q33" s="172"/>
      <c r="R33" s="172"/>
      <c r="S33" s="172"/>
      <c r="T33" s="172"/>
      <c r="U33" s="173"/>
    </row>
    <row r="34" spans="1:21">
      <c r="A34" s="64"/>
      <c r="B34" s="102"/>
      <c r="C34" s="102"/>
      <c r="D34" s="102"/>
      <c r="E34" s="102"/>
      <c r="F34" s="102"/>
      <c r="G34" s="102"/>
      <c r="H34" s="21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51"/>
    </row>
    <row r="35" spans="1:21">
      <c r="A35" s="64"/>
      <c r="B35" s="102"/>
      <c r="C35" s="102"/>
      <c r="D35" s="102"/>
      <c r="E35" s="102"/>
      <c r="F35" s="102"/>
      <c r="G35" s="102"/>
      <c r="H35" s="21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51"/>
    </row>
    <row r="36" spans="1:21">
      <c r="A36" s="64"/>
      <c r="B36" s="102"/>
      <c r="C36" s="102"/>
      <c r="D36" s="102"/>
      <c r="E36" s="102"/>
      <c r="F36" s="102"/>
      <c r="G36" s="102"/>
      <c r="H36" s="21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51"/>
    </row>
    <row r="37" spans="1:21">
      <c r="A37" s="64"/>
      <c r="B37" s="102"/>
      <c r="C37" s="102"/>
      <c r="D37" s="102"/>
      <c r="E37" s="102"/>
      <c r="F37" s="102"/>
      <c r="G37" s="102"/>
      <c r="H37" s="21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51"/>
    </row>
    <row r="38" spans="1:21">
      <c r="A38" s="64"/>
      <c r="B38" s="102"/>
      <c r="C38" s="102"/>
      <c r="D38" s="102"/>
      <c r="E38" s="102"/>
      <c r="F38" s="102"/>
      <c r="G38" s="102"/>
      <c r="H38" s="21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51"/>
    </row>
    <row r="39" spans="1:21">
      <c r="A39" s="64"/>
      <c r="B39" s="102"/>
      <c r="C39" s="102"/>
      <c r="D39" s="102"/>
      <c r="E39" s="102"/>
      <c r="F39" s="102"/>
      <c r="G39" s="102"/>
      <c r="H39" s="21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51"/>
    </row>
    <row r="40" spans="1:21">
      <c r="A40" s="64"/>
      <c r="B40" s="102"/>
      <c r="C40" s="102"/>
      <c r="D40" s="102"/>
      <c r="E40" s="102"/>
      <c r="F40" s="102"/>
      <c r="G40" s="102"/>
      <c r="H40" s="21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51"/>
    </row>
    <row r="41" spans="1:21">
      <c r="A41" s="64"/>
      <c r="B41" s="102"/>
      <c r="C41" s="102"/>
      <c r="D41" s="102"/>
      <c r="E41" s="102"/>
      <c r="F41" s="102"/>
      <c r="G41" s="102"/>
      <c r="H41" s="21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51"/>
    </row>
    <row r="42" spans="1:21">
      <c r="A42" s="64"/>
      <c r="B42" s="102"/>
      <c r="C42" s="102"/>
      <c r="D42" s="102"/>
      <c r="E42" s="102"/>
      <c r="F42" s="102"/>
      <c r="G42" s="102"/>
      <c r="H42" s="21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51"/>
    </row>
    <row r="43" spans="1:21">
      <c r="A43" s="64"/>
      <c r="B43" s="102"/>
      <c r="C43" s="102"/>
      <c r="D43" s="102"/>
      <c r="E43" s="102"/>
      <c r="F43" s="102"/>
      <c r="G43" s="102"/>
      <c r="H43" s="21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51"/>
    </row>
    <row r="44" spans="1:21">
      <c r="A44" s="64"/>
      <c r="B44" s="102"/>
      <c r="C44" s="102"/>
      <c r="D44" s="102"/>
      <c r="E44" s="102"/>
      <c r="F44" s="102"/>
      <c r="G44" s="102"/>
      <c r="H44" s="21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51"/>
    </row>
    <row r="45" spans="1:21">
      <c r="A45" s="64"/>
      <c r="B45" s="102"/>
      <c r="C45" s="102"/>
      <c r="D45" s="102"/>
      <c r="E45" s="102"/>
      <c r="F45" s="102"/>
      <c r="G45" s="102"/>
      <c r="H45" s="21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51"/>
    </row>
    <row r="46" spans="1:21" ht="15" thickBot="1">
      <c r="A46" s="65"/>
      <c r="B46" s="66"/>
      <c r="C46" s="66"/>
      <c r="D46" s="66"/>
      <c r="E46" s="66"/>
      <c r="F46" s="66"/>
      <c r="G46" s="66"/>
      <c r="H46" s="67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5"/>
    </row>
  </sheetData>
  <mergeCells count="21">
    <mergeCell ref="A16:A31"/>
    <mergeCell ref="B16:B31"/>
    <mergeCell ref="C16:C31"/>
    <mergeCell ref="L33:U33"/>
    <mergeCell ref="I33:K33"/>
    <mergeCell ref="A32:H32"/>
    <mergeCell ref="A1:U1"/>
    <mergeCell ref="O10:Q10"/>
    <mergeCell ref="O12:P12"/>
    <mergeCell ref="R12:U12"/>
    <mergeCell ref="R11:U11"/>
    <mergeCell ref="R9:U9"/>
    <mergeCell ref="R10:U10"/>
    <mergeCell ref="O15:S15"/>
    <mergeCell ref="I32:S32"/>
    <mergeCell ref="T15:U15"/>
    <mergeCell ref="L15:N15"/>
    <mergeCell ref="D15:K15"/>
    <mergeCell ref="U17:U18"/>
    <mergeCell ref="U20:U26"/>
    <mergeCell ref="U27:U29"/>
  </mergeCells>
  <pageMargins left="0.45" right="0.5" top="0.6" bottom="0.25" header="0.3" footer="0.3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</vt:lpstr>
      <vt:lpstr>Stickers</vt:lpstr>
      <vt:lpstr>Load List</vt:lpstr>
      <vt:lpstr>Packing List</vt:lpstr>
      <vt:lpstr>Stickers!Print_Area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2025-07-05T13:34:42Z</dcterms:modified>
</cp:coreProperties>
</file>